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irindianew-my.sharepoint.com/personal/c_akheem_pasha_partners_airindia_com/Documents/Desktop/"/>
    </mc:Choice>
  </mc:AlternateContent>
  <xr:revisionPtr revIDLastSave="113" documentId="8_{5533CA13-B3AF-4ED7-BC5F-7913B9B16217}" xr6:coauthVersionLast="47" xr6:coauthVersionMax="47" xr10:uidLastSave="{963CE27D-6926-476F-8426-BB516B2C3C96}"/>
  <bookViews>
    <workbookView xWindow="-110" yWindow="-110" windowWidth="19420" windowHeight="10300" activeTab="2" xr2:uid="{00000000-000D-0000-FFFF-FFFF00000000}"/>
  </bookViews>
  <sheets>
    <sheet name="Aggregate Report" sheetId="1" r:id="rId1"/>
    <sheet name="Test_Report" sheetId="2" r:id="rId2"/>
    <sheet name="Failed_APIs_Report" sheetId="3" r:id="rId3"/>
    <sheet name="Graphs_Summary" sheetId="4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2" l="1"/>
  <c r="B22" i="2" s="1"/>
  <c r="A23" i="2"/>
  <c r="C23" i="2" s="1"/>
  <c r="A24" i="2"/>
  <c r="D24" i="2" s="1"/>
  <c r="A25" i="2"/>
  <c r="H25" i="2" s="1"/>
  <c r="A26" i="2"/>
  <c r="H26" i="2" s="1"/>
  <c r="A27" i="2"/>
  <c r="B27" i="2" s="1"/>
  <c r="A28" i="2"/>
  <c r="C28" i="2" s="1"/>
  <c r="A29" i="2"/>
  <c r="B29" i="2" s="1"/>
  <c r="A30" i="2"/>
  <c r="C30" i="2" s="1"/>
  <c r="A31" i="2"/>
  <c r="D31" i="2" s="1"/>
  <c r="A32" i="2"/>
  <c r="E32" i="2" s="1"/>
  <c r="A33" i="2"/>
  <c r="F33" i="2" s="1"/>
  <c r="A34" i="2"/>
  <c r="B34" i="2" s="1"/>
  <c r="A35" i="2"/>
  <c r="C35" i="2" s="1"/>
  <c r="A36" i="2"/>
  <c r="D36" i="2" s="1"/>
  <c r="A37" i="2"/>
  <c r="H37" i="2" s="1"/>
  <c r="A38" i="2"/>
  <c r="H38" i="2" s="1"/>
  <c r="A39" i="2"/>
  <c r="F39" i="2" s="1"/>
  <c r="A40" i="2"/>
  <c r="G40" i="2" s="1"/>
  <c r="A41" i="2"/>
  <c r="B41" i="2" s="1"/>
  <c r="A42" i="2"/>
  <c r="C42" i="2" s="1"/>
  <c r="A43" i="2"/>
  <c r="D43" i="2" s="1"/>
  <c r="A44" i="2"/>
  <c r="E44" i="2" s="1"/>
  <c r="A45" i="2"/>
  <c r="F45" i="2" s="1"/>
  <c r="A46" i="2"/>
  <c r="B46" i="2" s="1"/>
  <c r="A47" i="2"/>
  <c r="C47" i="2" s="1"/>
  <c r="A48" i="2"/>
  <c r="D48" i="2" s="1"/>
  <c r="A49" i="2"/>
  <c r="H49" i="2" s="1"/>
  <c r="A50" i="2"/>
  <c r="H50" i="2" s="1"/>
  <c r="A51" i="2"/>
  <c r="E51" i="2" s="1"/>
  <c r="A52" i="2"/>
  <c r="C52" i="2" s="1"/>
  <c r="A53" i="2"/>
  <c r="B53" i="2" s="1"/>
  <c r="A54" i="2"/>
  <c r="C54" i="2" s="1"/>
  <c r="A55" i="2"/>
  <c r="D55" i="2" s="1"/>
  <c r="A56" i="2"/>
  <c r="E56" i="2" s="1"/>
  <c r="A57" i="2"/>
  <c r="F57" i="2" s="1"/>
  <c r="A58" i="2"/>
  <c r="B58" i="2" s="1"/>
  <c r="A59" i="2"/>
  <c r="C59" i="2" s="1"/>
  <c r="A60" i="2"/>
  <c r="D60" i="2" s="1"/>
  <c r="A61" i="2"/>
  <c r="H61" i="2" s="1"/>
  <c r="A62" i="2"/>
  <c r="H62" i="2" s="1"/>
  <c r="A63" i="2"/>
  <c r="B63" i="2" s="1"/>
  <c r="J63" i="2" s="1"/>
  <c r="I63" i="2" s="1"/>
  <c r="A64" i="2"/>
  <c r="B64" i="2" s="1"/>
  <c r="J64" i="2" s="1"/>
  <c r="I64" i="2" s="1"/>
  <c r="A65" i="2"/>
  <c r="B65" i="2" s="1"/>
  <c r="A66" i="2"/>
  <c r="C66" i="2" s="1"/>
  <c r="A67" i="2"/>
  <c r="D67" i="2" s="1"/>
  <c r="A68" i="2"/>
  <c r="E68" i="2" s="1"/>
  <c r="A69" i="2"/>
  <c r="F69" i="2" s="1"/>
  <c r="A70" i="2"/>
  <c r="B70" i="2" s="1"/>
  <c r="A71" i="2"/>
  <c r="C71" i="2" s="1"/>
  <c r="C25" i="2" l="1"/>
  <c r="E63" i="2"/>
  <c r="E62" i="2"/>
  <c r="C60" i="2"/>
  <c r="H66" i="2"/>
  <c r="C38" i="2"/>
  <c r="H46" i="2"/>
  <c r="G50" i="2"/>
  <c r="E50" i="2"/>
  <c r="D61" i="2"/>
  <c r="C62" i="2"/>
  <c r="G38" i="2"/>
  <c r="D63" i="2"/>
  <c r="C24" i="2"/>
  <c r="H65" i="2"/>
  <c r="F38" i="2"/>
  <c r="D37" i="2"/>
  <c r="F50" i="2"/>
  <c r="H64" i="2"/>
  <c r="E65" i="2"/>
  <c r="H63" i="2"/>
  <c r="E64" i="2"/>
  <c r="G52" i="2"/>
  <c r="E38" i="2"/>
  <c r="C36" i="2"/>
  <c r="G51" i="2"/>
  <c r="E26" i="2"/>
  <c r="C26" i="2"/>
  <c r="D64" i="2"/>
  <c r="F51" i="2"/>
  <c r="D62" i="2"/>
  <c r="B62" i="2"/>
  <c r="J62" i="2" s="1"/>
  <c r="I62" i="2" s="1"/>
  <c r="B52" i="2"/>
  <c r="J52" i="2" s="1"/>
  <c r="I52" i="2" s="1"/>
  <c r="H53" i="2"/>
  <c r="H30" i="2"/>
  <c r="E27" i="2"/>
  <c r="H29" i="2"/>
  <c r="D25" i="2"/>
  <c r="F30" i="2"/>
  <c r="H28" i="2"/>
  <c r="F62" i="2"/>
  <c r="E67" i="2"/>
  <c r="E25" i="2"/>
  <c r="C27" i="2"/>
  <c r="H27" i="2"/>
  <c r="F52" i="2"/>
  <c r="E66" i="2"/>
  <c r="F29" i="2"/>
  <c r="D49" i="2"/>
  <c r="C51" i="2"/>
  <c r="B51" i="2"/>
  <c r="J51" i="2" s="1"/>
  <c r="I51" i="2" s="1"/>
  <c r="H52" i="2"/>
  <c r="G39" i="2"/>
  <c r="F28" i="2"/>
  <c r="E49" i="2"/>
  <c r="D40" i="2"/>
  <c r="C50" i="2"/>
  <c r="B50" i="2"/>
  <c r="J50" i="2" s="1"/>
  <c r="I50" i="2" s="1"/>
  <c r="F27" i="2"/>
  <c r="D39" i="2"/>
  <c r="C49" i="2"/>
  <c r="B49" i="2"/>
  <c r="J49" i="2" s="1"/>
  <c r="I49" i="2" s="1"/>
  <c r="H33" i="2"/>
  <c r="F26" i="2"/>
  <c r="E28" i="2"/>
  <c r="D38" i="2"/>
  <c r="C48" i="2"/>
  <c r="B26" i="2"/>
  <c r="J26" i="2" s="1"/>
  <c r="J27" i="2"/>
  <c r="I27" i="2" s="1"/>
  <c r="G66" i="2"/>
  <c r="G30" i="2"/>
  <c r="E43" i="2"/>
  <c r="G68" i="2"/>
  <c r="H45" i="2"/>
  <c r="G67" i="2"/>
  <c r="G31" i="2"/>
  <c r="F68" i="2"/>
  <c r="H44" i="2"/>
  <c r="H58" i="2"/>
  <c r="H42" i="2"/>
  <c r="H22" i="2"/>
  <c r="G64" i="2"/>
  <c r="G44" i="2"/>
  <c r="G28" i="2"/>
  <c r="F65" i="2"/>
  <c r="F43" i="2"/>
  <c r="E41" i="2"/>
  <c r="D54" i="2"/>
  <c r="D30" i="2"/>
  <c r="C65" i="2"/>
  <c r="C41" i="2"/>
  <c r="B40" i="2"/>
  <c r="H57" i="2"/>
  <c r="H41" i="2"/>
  <c r="G63" i="2"/>
  <c r="G43" i="2"/>
  <c r="G27" i="2"/>
  <c r="F64" i="2"/>
  <c r="F42" i="2"/>
  <c r="E40" i="2"/>
  <c r="D53" i="2"/>
  <c r="D29" i="2"/>
  <c r="C64" i="2"/>
  <c r="C40" i="2"/>
  <c r="B39" i="2"/>
  <c r="H56" i="2"/>
  <c r="H40" i="2"/>
  <c r="G62" i="2"/>
  <c r="G42" i="2"/>
  <c r="G26" i="2"/>
  <c r="F63" i="2"/>
  <c r="F41" i="2"/>
  <c r="E61" i="2"/>
  <c r="E39" i="2"/>
  <c r="D52" i="2"/>
  <c r="D28" i="2"/>
  <c r="C63" i="2"/>
  <c r="C39" i="2"/>
  <c r="B38" i="2"/>
  <c r="F67" i="2"/>
  <c r="G65" i="2"/>
  <c r="G45" i="2"/>
  <c r="G29" i="2"/>
  <c r="F66" i="2"/>
  <c r="F44" i="2"/>
  <c r="B37" i="2"/>
  <c r="J37" i="2" s="1"/>
  <c r="I37" i="2" s="1"/>
  <c r="G32" i="2"/>
  <c r="H43" i="2"/>
  <c r="E42" i="2"/>
  <c r="H55" i="2"/>
  <c r="H39" i="2"/>
  <c r="G57" i="2"/>
  <c r="G41" i="2"/>
  <c r="F40" i="2"/>
  <c r="E55" i="2"/>
  <c r="D51" i="2"/>
  <c r="D27" i="2"/>
  <c r="H70" i="2"/>
  <c r="H54" i="2"/>
  <c r="H34" i="2"/>
  <c r="G56" i="2"/>
  <c r="F56" i="2"/>
  <c r="E54" i="2"/>
  <c r="E37" i="2"/>
  <c r="D50" i="2"/>
  <c r="D26" i="2"/>
  <c r="C61" i="2"/>
  <c r="C37" i="2"/>
  <c r="B28" i="2"/>
  <c r="H69" i="2"/>
  <c r="G55" i="2"/>
  <c r="F55" i="2"/>
  <c r="E53" i="2"/>
  <c r="E31" i="2"/>
  <c r="H68" i="2"/>
  <c r="H32" i="2"/>
  <c r="G54" i="2"/>
  <c r="F54" i="2"/>
  <c r="F32" i="2"/>
  <c r="E52" i="2"/>
  <c r="E30" i="2"/>
  <c r="D66" i="2"/>
  <c r="D42" i="2"/>
  <c r="C53" i="2"/>
  <c r="C29" i="2"/>
  <c r="H67" i="2"/>
  <c r="H51" i="2"/>
  <c r="H31" i="2"/>
  <c r="G69" i="2"/>
  <c r="G53" i="2"/>
  <c r="G33" i="2"/>
  <c r="F53" i="2"/>
  <c r="F31" i="2"/>
  <c r="E29" i="2"/>
  <c r="D65" i="2"/>
  <c r="D41" i="2"/>
  <c r="B61" i="2"/>
  <c r="J61" i="2" s="1"/>
  <c r="I61" i="2" s="1"/>
  <c r="B25" i="2"/>
  <c r="J70" i="2"/>
  <c r="I70" i="2" s="1"/>
  <c r="J22" i="2"/>
  <c r="I22" i="2" s="1"/>
  <c r="J65" i="2"/>
  <c r="I65" i="2" s="1"/>
  <c r="J41" i="2"/>
  <c r="I41" i="2" s="1"/>
  <c r="J34" i="2"/>
  <c r="I34" i="2" s="1"/>
  <c r="J53" i="2"/>
  <c r="I53" i="2" s="1"/>
  <c r="J29" i="2"/>
  <c r="I29" i="2" s="1"/>
  <c r="J46" i="2"/>
  <c r="I46" i="2" s="1"/>
  <c r="J58" i="2"/>
  <c r="I58" i="2" s="1"/>
  <c r="B71" i="2"/>
  <c r="F61" i="2"/>
  <c r="F37" i="2"/>
  <c r="E60" i="2"/>
  <c r="E36" i="2"/>
  <c r="D71" i="2"/>
  <c r="D47" i="2"/>
  <c r="D35" i="2"/>
  <c r="C70" i="2"/>
  <c r="C58" i="2"/>
  <c r="C46" i="2"/>
  <c r="C22" i="2"/>
  <c r="B69" i="2"/>
  <c r="J69" i="2" s="1"/>
  <c r="I69" i="2" s="1"/>
  <c r="B33" i="2"/>
  <c r="J33" i="2" s="1"/>
  <c r="I33" i="2" s="1"/>
  <c r="G61" i="2"/>
  <c r="G49" i="2"/>
  <c r="G37" i="2"/>
  <c r="G25" i="2"/>
  <c r="F60" i="2"/>
  <c r="F48" i="2"/>
  <c r="F36" i="2"/>
  <c r="F24" i="2"/>
  <c r="E71" i="2"/>
  <c r="E59" i="2"/>
  <c r="E47" i="2"/>
  <c r="E35" i="2"/>
  <c r="E23" i="2"/>
  <c r="D70" i="2"/>
  <c r="D58" i="2"/>
  <c r="D46" i="2"/>
  <c r="D34" i="2"/>
  <c r="D22" i="2"/>
  <c r="C69" i="2"/>
  <c r="C57" i="2"/>
  <c r="C45" i="2"/>
  <c r="C33" i="2"/>
  <c r="B68" i="2"/>
  <c r="J68" i="2" s="1"/>
  <c r="B56" i="2"/>
  <c r="J56" i="2" s="1"/>
  <c r="I56" i="2" s="1"/>
  <c r="B44" i="2"/>
  <c r="J44" i="2" s="1"/>
  <c r="B32" i="2"/>
  <c r="J32" i="2" s="1"/>
  <c r="F49" i="2"/>
  <c r="F25" i="2"/>
  <c r="E48" i="2"/>
  <c r="E24" i="2"/>
  <c r="D59" i="2"/>
  <c r="D23" i="2"/>
  <c r="C34" i="2"/>
  <c r="B57" i="2"/>
  <c r="J57" i="2" s="1"/>
  <c r="I57" i="2" s="1"/>
  <c r="B45" i="2"/>
  <c r="J45" i="2" s="1"/>
  <c r="I45" i="2" s="1"/>
  <c r="G60" i="2"/>
  <c r="G48" i="2"/>
  <c r="G36" i="2"/>
  <c r="G24" i="2"/>
  <c r="F71" i="2"/>
  <c r="F59" i="2"/>
  <c r="F47" i="2"/>
  <c r="F35" i="2"/>
  <c r="F23" i="2"/>
  <c r="E70" i="2"/>
  <c r="E58" i="2"/>
  <c r="E46" i="2"/>
  <c r="E34" i="2"/>
  <c r="E22" i="2"/>
  <c r="D69" i="2"/>
  <c r="D57" i="2"/>
  <c r="D45" i="2"/>
  <c r="D33" i="2"/>
  <c r="C68" i="2"/>
  <c r="C56" i="2"/>
  <c r="C44" i="2"/>
  <c r="C32" i="2"/>
  <c r="B67" i="2"/>
  <c r="J67" i="2" s="1"/>
  <c r="I67" i="2" s="1"/>
  <c r="B55" i="2"/>
  <c r="J55" i="2" s="1"/>
  <c r="I55" i="2" s="1"/>
  <c r="B43" i="2"/>
  <c r="J43" i="2" s="1"/>
  <c r="I43" i="2" s="1"/>
  <c r="B31" i="2"/>
  <c r="H60" i="2"/>
  <c r="H48" i="2"/>
  <c r="H36" i="2"/>
  <c r="H24" i="2"/>
  <c r="G71" i="2"/>
  <c r="G59" i="2"/>
  <c r="G47" i="2"/>
  <c r="G35" i="2"/>
  <c r="G23" i="2"/>
  <c r="F70" i="2"/>
  <c r="F58" i="2"/>
  <c r="F46" i="2"/>
  <c r="F34" i="2"/>
  <c r="F22" i="2"/>
  <c r="E69" i="2"/>
  <c r="E57" i="2"/>
  <c r="E45" i="2"/>
  <c r="E33" i="2"/>
  <c r="D68" i="2"/>
  <c r="D56" i="2"/>
  <c r="D44" i="2"/>
  <c r="D32" i="2"/>
  <c r="C67" i="2"/>
  <c r="C55" i="2"/>
  <c r="C43" i="2"/>
  <c r="C31" i="2"/>
  <c r="B66" i="2"/>
  <c r="J66" i="2" s="1"/>
  <c r="B54" i="2"/>
  <c r="J54" i="2" s="1"/>
  <c r="B42" i="2"/>
  <c r="J42" i="2" s="1"/>
  <c r="B30" i="2"/>
  <c r="J30" i="2" s="1"/>
  <c r="I30" i="2" s="1"/>
  <c r="H71" i="2"/>
  <c r="H59" i="2"/>
  <c r="H47" i="2"/>
  <c r="H35" i="2"/>
  <c r="H23" i="2"/>
  <c r="G70" i="2"/>
  <c r="G58" i="2"/>
  <c r="G46" i="2"/>
  <c r="G34" i="2"/>
  <c r="G22" i="2"/>
  <c r="B60" i="2"/>
  <c r="J60" i="2" s="1"/>
  <c r="I60" i="2" s="1"/>
  <c r="B48" i="2"/>
  <c r="J48" i="2" s="1"/>
  <c r="I48" i="2" s="1"/>
  <c r="B36" i="2"/>
  <c r="J36" i="2" s="1"/>
  <c r="I36" i="2" s="1"/>
  <c r="B24" i="2"/>
  <c r="J24" i="2" s="1"/>
  <c r="I24" i="2" s="1"/>
  <c r="B59" i="2"/>
  <c r="B47" i="2"/>
  <c r="B35" i="2"/>
  <c r="B23" i="2"/>
  <c r="A15" i="2"/>
  <c r="B15" i="2" s="1"/>
  <c r="J15" i="2" s="1"/>
  <c r="I15" i="2" s="1"/>
  <c r="A16" i="2"/>
  <c r="F16" i="2" s="1"/>
  <c r="A17" i="2"/>
  <c r="H17" i="2" s="1"/>
  <c r="A18" i="2"/>
  <c r="G18" i="2" s="1"/>
  <c r="A19" i="2"/>
  <c r="F19" i="2" s="1"/>
  <c r="A20" i="2"/>
  <c r="E20" i="2" s="1"/>
  <c r="A21" i="2"/>
  <c r="D21" i="2" s="1"/>
  <c r="A2" i="2"/>
  <c r="A3" i="2"/>
  <c r="D3" i="2" s="1"/>
  <c r="A4" i="2"/>
  <c r="C4" i="2" s="1"/>
  <c r="A5" i="2"/>
  <c r="C5" i="2" s="1"/>
  <c r="A6" i="2"/>
  <c r="A7" i="2"/>
  <c r="F7" i="2" s="1"/>
  <c r="A8" i="2"/>
  <c r="G8" i="2" s="1"/>
  <c r="A9" i="2"/>
  <c r="A10" i="2"/>
  <c r="B10" i="2" s="1"/>
  <c r="J10" i="2" s="1"/>
  <c r="I10" i="2" s="1"/>
  <c r="A11" i="2"/>
  <c r="A12" i="2"/>
  <c r="F12" i="2" s="1"/>
  <c r="A13" i="2"/>
  <c r="D13" i="2" s="1"/>
  <c r="A14" i="2"/>
  <c r="G14" i="2" s="1"/>
  <c r="G12" i="4"/>
  <c r="G13" i="4"/>
  <c r="G14" i="4"/>
  <c r="G15" i="4"/>
  <c r="G16" i="4"/>
  <c r="G17" i="4"/>
  <c r="A57" i="3" a="1"/>
  <c r="J57" i="3" s="1"/>
  <c r="A12" i="3" a="1"/>
  <c r="J12" i="3" s="1"/>
  <c r="I26" i="2" l="1"/>
  <c r="I32" i="2"/>
  <c r="I44" i="2"/>
  <c r="I68" i="2"/>
  <c r="I42" i="2"/>
  <c r="I54" i="2"/>
  <c r="J28" i="2"/>
  <c r="I28" i="2" s="1"/>
  <c r="J38" i="2"/>
  <c r="I38" i="2" s="1"/>
  <c r="J39" i="2"/>
  <c r="I39" i="2" s="1"/>
  <c r="J25" i="2"/>
  <c r="I25" i="2" s="1"/>
  <c r="J40" i="2"/>
  <c r="I40" i="2" s="1"/>
  <c r="J59" i="2"/>
  <c r="I59" i="2" s="1"/>
  <c r="J23" i="2"/>
  <c r="I23" i="2" s="1"/>
  <c r="J35" i="2"/>
  <c r="I35" i="2" s="1"/>
  <c r="J47" i="2"/>
  <c r="I47" i="2" s="1"/>
  <c r="J31" i="2"/>
  <c r="I31" i="2" s="1"/>
  <c r="I66" i="2"/>
  <c r="J71" i="2"/>
  <c r="I71" i="2" s="1"/>
  <c r="D20" i="2"/>
  <c r="D15" i="2"/>
  <c r="E15" i="2"/>
  <c r="C17" i="2"/>
  <c r="G15" i="2"/>
  <c r="B18" i="2"/>
  <c r="J18" i="2" s="1"/>
  <c r="I18" i="2" s="1"/>
  <c r="F15" i="2"/>
  <c r="D19" i="2"/>
  <c r="C19" i="2"/>
  <c r="E19" i="2"/>
  <c r="E18" i="2"/>
  <c r="C16" i="2"/>
  <c r="D18" i="2"/>
  <c r="C15" i="2"/>
  <c r="G17" i="2"/>
  <c r="D17" i="2"/>
  <c r="G16" i="2"/>
  <c r="D16" i="2"/>
  <c r="B21" i="2"/>
  <c r="J21" i="2" s="1"/>
  <c r="I21" i="2" s="1"/>
  <c r="E17" i="2"/>
  <c r="B20" i="2"/>
  <c r="J20" i="2" s="1"/>
  <c r="I20" i="2" s="1"/>
  <c r="E16" i="2"/>
  <c r="B19" i="2"/>
  <c r="J19" i="2" s="1"/>
  <c r="F18" i="2"/>
  <c r="C20" i="2"/>
  <c r="B17" i="2"/>
  <c r="J17" i="2" s="1"/>
  <c r="I17" i="2" s="1"/>
  <c r="H16" i="2"/>
  <c r="B16" i="2"/>
  <c r="J16" i="2" s="1"/>
  <c r="I16" i="2" s="1"/>
  <c r="C21" i="2"/>
  <c r="F17" i="2"/>
  <c r="H15" i="2"/>
  <c r="C18" i="2"/>
  <c r="H20" i="2"/>
  <c r="H19" i="2"/>
  <c r="G20" i="2"/>
  <c r="F21" i="2"/>
  <c r="H21" i="2"/>
  <c r="H18" i="2"/>
  <c r="G19" i="2"/>
  <c r="F20" i="2"/>
  <c r="E21" i="2"/>
  <c r="G21" i="2"/>
  <c r="C3" i="2"/>
  <c r="E4" i="2"/>
  <c r="G7" i="2"/>
  <c r="D7" i="2"/>
  <c r="F10" i="2"/>
  <c r="D4" i="2"/>
  <c r="E8" i="2"/>
  <c r="F4" i="2"/>
  <c r="H8" i="2"/>
  <c r="H4" i="2"/>
  <c r="E7" i="2"/>
  <c r="H3" i="2"/>
  <c r="C10" i="2"/>
  <c r="C8" i="2"/>
  <c r="E3" i="2"/>
  <c r="D12" i="2"/>
  <c r="E14" i="2"/>
  <c r="G12" i="2"/>
  <c r="E12" i="2"/>
  <c r="E11" i="2"/>
  <c r="D11" i="2"/>
  <c r="H11" i="2"/>
  <c r="F11" i="2"/>
  <c r="G11" i="2"/>
  <c r="E5" i="2"/>
  <c r="D5" i="2"/>
  <c r="H5" i="2"/>
  <c r="F5" i="2"/>
  <c r="G5" i="2"/>
  <c r="B13" i="2"/>
  <c r="J13" i="2" s="1"/>
  <c r="I13" i="2" s="1"/>
  <c r="F13" i="2"/>
  <c r="E13" i="2"/>
  <c r="G13" i="2"/>
  <c r="C13" i="2"/>
  <c r="H13" i="2"/>
  <c r="E6" i="2"/>
  <c r="D6" i="2"/>
  <c r="G6" i="2"/>
  <c r="H6" i="2"/>
  <c r="F6" i="2"/>
  <c r="C11" i="2"/>
  <c r="H9" i="2"/>
  <c r="G9" i="2"/>
  <c r="F9" i="2"/>
  <c r="E9" i="2"/>
  <c r="D9" i="2"/>
  <c r="C9" i="2"/>
  <c r="C6" i="2"/>
  <c r="C14" i="2"/>
  <c r="F3" i="2"/>
  <c r="H12" i="2"/>
  <c r="H7" i="2"/>
  <c r="H14" i="2"/>
  <c r="D8" i="2"/>
  <c r="E10" i="2"/>
  <c r="G4" i="2"/>
  <c r="D10" i="2"/>
  <c r="B14" i="2"/>
  <c r="C12" i="2"/>
  <c r="C7" i="2"/>
  <c r="D14" i="2"/>
  <c r="G3" i="2"/>
  <c r="F8" i="2"/>
  <c r="G10" i="2"/>
  <c r="F14" i="2"/>
  <c r="H10" i="2"/>
  <c r="B5" i="2"/>
  <c r="B8" i="2"/>
  <c r="B6" i="2"/>
  <c r="B3" i="2"/>
  <c r="B12" i="2"/>
  <c r="J12" i="2" s="1"/>
  <c r="I12" i="2" s="1"/>
  <c r="B9" i="2"/>
  <c r="B7" i="2"/>
  <c r="J7" i="2" s="1"/>
  <c r="I7" i="2" s="1"/>
  <c r="B4" i="2"/>
  <c r="B11" i="2"/>
  <c r="H2" i="2"/>
  <c r="G2" i="2"/>
  <c r="F2" i="2"/>
  <c r="E2" i="2"/>
  <c r="B2" i="2"/>
  <c r="C2" i="2"/>
  <c r="C4" i="3" s="1"/>
  <c r="D2" i="2"/>
  <c r="A57" i="3"/>
  <c r="B12" i="3"/>
  <c r="B57" i="3"/>
  <c r="F12" i="3"/>
  <c r="E57" i="3"/>
  <c r="G12" i="3"/>
  <c r="F57" i="3"/>
  <c r="A12" i="3"/>
  <c r="C12" i="3"/>
  <c r="C57" i="3"/>
  <c r="D57" i="3"/>
  <c r="H12" i="3"/>
  <c r="G57" i="3"/>
  <c r="I12" i="3"/>
  <c r="H57" i="3"/>
  <c r="D12" i="3"/>
  <c r="E12" i="3"/>
  <c r="I57" i="3"/>
  <c r="H4" i="3" l="1"/>
  <c r="E4" i="3"/>
  <c r="D4" i="3"/>
  <c r="G4" i="3"/>
  <c r="J2" i="2"/>
  <c r="B72" i="2"/>
  <c r="I19" i="2"/>
  <c r="J9" i="2"/>
  <c r="I9" i="2" s="1"/>
  <c r="J5" i="2"/>
  <c r="I5" i="2" s="1"/>
  <c r="B4" i="3"/>
  <c r="J6" i="2"/>
  <c r="I6" i="2" s="1"/>
  <c r="J8" i="2"/>
  <c r="I8" i="2" s="1"/>
  <c r="F4" i="3"/>
  <c r="J3" i="2"/>
  <c r="I3" i="2" s="1"/>
  <c r="J4" i="2"/>
  <c r="I4" i="2" s="1"/>
  <c r="J14" i="2"/>
  <c r="I14" i="2" s="1"/>
  <c r="J11" i="2"/>
  <c r="I11" i="2" s="1"/>
  <c r="I2" i="2" l="1"/>
  <c r="I72" i="2" s="1"/>
  <c r="B3" i="4"/>
  <c r="J72" i="2"/>
  <c r="A13" i="3" s="1" a="1"/>
  <c r="A13" i="3" s="1"/>
  <c r="A58" i="3" a="1"/>
  <c r="A58" i="3" s="1"/>
  <c r="B2" i="4" l="1"/>
  <c r="D3" i="4" a="1"/>
  <c r="G9" i="4" l="1"/>
  <c r="G10" i="4"/>
  <c r="G11" i="4"/>
  <c r="G3" i="4"/>
  <c r="D3" i="4"/>
  <c r="G8" i="4"/>
  <c r="G6" i="4"/>
  <c r="G7" i="4"/>
  <c r="G4" i="4"/>
  <c r="G5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<sst xmlns="http://schemas.openxmlformats.org/spreadsheetml/2006/main" count="113" uniqueCount="98">
  <si>
    <t>Label</t>
  </si>
  <si>
    <t>#Samples</t>
  </si>
  <si>
    <t>Average (ms)</t>
  </si>
  <si>
    <t>Median (ms)</t>
  </si>
  <si>
    <t>90% Line (ms)</t>
  </si>
  <si>
    <t>95% Line (ms)</t>
  </si>
  <si>
    <t>99% Line (ms)</t>
  </si>
  <si>
    <t>Min (ms)</t>
  </si>
  <si>
    <t>Max (ms)</t>
  </si>
  <si>
    <t>Error %</t>
  </si>
  <si>
    <t>Throughput (req/sec)</t>
  </si>
  <si>
    <t>Received KB/sec</t>
  </si>
  <si>
    <t>Sent KB/sec</t>
  </si>
  <si>
    <t>Pass</t>
  </si>
  <si>
    <t>Fail</t>
  </si>
  <si>
    <t>APIs Fail Detailes</t>
  </si>
  <si>
    <t>High response Time</t>
  </si>
  <si>
    <t>Summary Data for Graph</t>
  </si>
  <si>
    <t>API-wise Error % graph</t>
  </si>
  <si>
    <t>Pass %</t>
  </si>
  <si>
    <t>Fail%</t>
  </si>
  <si>
    <t>Min</t>
  </si>
  <si>
    <t>Average</t>
  </si>
  <si>
    <t>Max</t>
  </si>
  <si>
    <t>90% Line</t>
  </si>
  <si>
    <t>95% Line</t>
  </si>
  <si>
    <t>99% Line</t>
  </si>
  <si>
    <t>Total</t>
  </si>
  <si>
    <t>01-getControlBoard</t>
  </si>
  <si>
    <t>02-getOfficerDetails</t>
  </si>
  <si>
    <t>03-getCBNotificationsAndOTP</t>
  </si>
  <si>
    <t>04-getCBStationData</t>
  </si>
  <si>
    <t>05-getCFGCrewDetails</t>
  </si>
  <si>
    <t>06-getEngControlBoardData</t>
  </si>
  <si>
    <t>07-getEngAllocationData</t>
  </si>
  <si>
    <t>08-getUserDetailsById</t>
  </si>
  <si>
    <t>09-getIngestDataByCategory</t>
  </si>
  <si>
    <t>10-getFlightCountByType</t>
  </si>
  <si>
    <t>11-getFlightDetailByFlightDateStdLclv3</t>
  </si>
  <si>
    <t>13-getFlightDetailsByCrewId</t>
  </si>
  <si>
    <t>14-getMelList</t>
  </si>
  <si>
    <t>15-download-mel-pdf</t>
  </si>
  <si>
    <t>16-getAirCraftListv2</t>
  </si>
  <si>
    <t>18-tailFlightsForHomePage</t>
  </si>
  <si>
    <t>19-getFlightAllinfo</t>
  </si>
  <si>
    <t>20-getPtsActsListForFlights</t>
  </si>
  <si>
    <t>21-addPtsComments</t>
  </si>
  <si>
    <t>22-reportWrongChocksOn</t>
  </si>
  <si>
    <t>23-updatePtsActivity</t>
  </si>
  <si>
    <t>24-retrieveDocRampMessage</t>
  </si>
  <si>
    <t>25_1-getPtsActivityReasons</t>
  </si>
  <si>
    <t>25_2-savePtsNotStartedReason</t>
  </si>
  <si>
    <t>25_3-passenger-reports</t>
  </si>
  <si>
    <t>25_4-load-ramp-reports</t>
  </si>
  <si>
    <t>25-listPassengersByFlight</t>
  </si>
  <si>
    <t>26-getFuelDashboard</t>
  </si>
  <si>
    <t>27-getFuelCompDataForId</t>
  </si>
  <si>
    <t>28-getPTSDashboard</t>
  </si>
  <si>
    <t>29-CheckFlight</t>
  </si>
  <si>
    <t>30-getBagBeltDetails</t>
  </si>
  <si>
    <t>31-SaveBagBeltDetails</t>
  </si>
  <si>
    <t>48-getDeptList</t>
  </si>
  <si>
    <t>49-getStationList</t>
  </si>
  <si>
    <t>50-getStation</t>
  </si>
  <si>
    <t>51-getTailNo</t>
  </si>
  <si>
    <t>52-getFlightChart</t>
  </si>
  <si>
    <t>53-getAirCraftListMS</t>
  </si>
  <si>
    <t>54-get-all-notifications</t>
  </si>
  <si>
    <t>55-getAction</t>
  </si>
  <si>
    <t>56-auto approval</t>
  </si>
  <si>
    <t>57-request approval</t>
  </si>
  <si>
    <t>58-engineering-request/getList</t>
  </si>
  <si>
    <t>59-email-status</t>
  </si>
  <si>
    <t>60-notamManagerDashboard</t>
  </si>
  <si>
    <t>61-notamManagerSend</t>
  </si>
  <si>
    <t>62-notamManagerUdpate</t>
  </si>
  <si>
    <t>63-notamManagerRead</t>
  </si>
  <si>
    <t>64-notamManagerDate</t>
  </si>
  <si>
    <t>65-notamManagerqCodes</t>
  </si>
  <si>
    <t>66-NotamDailyReportDashboard</t>
  </si>
  <si>
    <t>67-NotamChecklistSave</t>
  </si>
  <si>
    <t>68-NotamChecklistDecode</t>
  </si>
  <si>
    <t>69-NotamChecklistGetSeries</t>
  </si>
  <si>
    <t>70-NotamChecklistGetOriginator</t>
  </si>
  <si>
    <t>71-NotamChecklistGetMessage</t>
  </si>
  <si>
    <t>72-NotamAdvanceGetNotamList</t>
  </si>
  <si>
    <t>12-downloadADCFICFile</t>
  </si>
  <si>
    <t>73-CateringManager_flights</t>
  </si>
  <si>
    <t>74-CateringManager_DiningHistory</t>
  </si>
  <si>
    <t>75-CateringManager_Meals</t>
  </si>
  <si>
    <t>76-CateringManager_getFlightsForTail</t>
  </si>
  <si>
    <t>77-CateringManager_getChangeHistory</t>
  </si>
  <si>
    <t>78-CateringManager_pinFlight</t>
  </si>
  <si>
    <t>79-CateringManager_update-stn-ctr-code</t>
  </si>
  <si>
    <t>80-CateringManager_download-report</t>
  </si>
  <si>
    <t>81-CateringManager_update-catering-details</t>
  </si>
  <si>
    <t>82-CateringManager_Dining_Download</t>
  </si>
  <si>
    <t>83-CateringManager_Upload_Schedule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</si>
</sst>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name val="Calibri"/>
      <scheme val="minor"/>
    </font>
    <font>
      <sz val="11"/>
      <name val="Calibri"/>
    </font>
    <font>
      <sz val="14"/>
      <color rgb="FFFFFFFF"/>
      <name val="Calibri"/>
    </font>
    <font>
      <sz val="12"/>
      <name val="Calibri"/>
    </font>
    <font>
      <b/>
      <sz val="18"/>
      <name val="Calibri"/>
    </font>
    <font>
      <b/>
      <sz val="14"/>
      <name val="Calibri"/>
    </font>
    <font>
      <sz val="11"/>
      <name val="Calibri"/>
    </font>
    <font>
      <b/>
      <sz val="20"/>
      <color rgb="FFFF0000"/>
      <name val="Calibri"/>
    </font>
    <font>
      <sz val="14"/>
      <color rgb="FFFFFFFF"/>
      <name val="Calibri"/>
      <family val="2"/>
    </font>
    <font>
      <b/>
      <sz val="11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14"/>
      <name val="Calibri"/>
      <family val="2"/>
      <scheme val="minor"/>
    </font>
    <font>
      <sz val="11"/>
      <name val="Calibri"/>
      <scheme val="minor"/>
    </font>
    <font>
      <b/>
      <sz val="11"/>
      <name val="Calibri"/>
      <family val="2"/>
      <scheme val="minor"/>
    </font>
    <font>
      <b/>
      <sz val="1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6">
    <xf numFmtId="0" fontId="0" fillId="0" borderId="0" xfId="0"/>
    <xf numFmtId="1" fontId="1" fillId="0" borderId="0" xfId="0" applyNumberFormat="1" applyFont="1"/>
    <xf numFmtId="10" fontId="1" fillId="0" borderId="0" xfId="0" applyNumberFormat="1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0" borderId="1" xfId="0" applyFont="1" applyBorder="1"/>
    <xf numFmtId="1" fontId="4" fillId="0" borderId="1" xfId="0" applyNumberFormat="1" applyFont="1" applyBorder="1"/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1" xfId="0" applyFont="1" applyBorder="1"/>
    <xf numFmtId="2" fontId="0" fillId="0" borderId="0" xfId="0" applyNumberFormat="1"/>
    <xf numFmtId="10" fontId="0" fillId="0" borderId="0" xfId="0" applyNumberFormat="1"/>
    <xf numFmtId="0" fontId="12" fillId="4" borderId="0" xfId="0" applyFont="1" applyFill="1" applyAlignment="1">
      <alignment horizontal="center"/>
    </xf>
    <xf numFmtId="0" fontId="4" fillId="4" borderId="3" xfId="0" applyFont="1" applyFill="1" applyBorder="1"/>
    <xf numFmtId="0" fontId="4" fillId="4" borderId="1" xfId="0" applyFont="1" applyFill="1" applyBorder="1"/>
    <xf numFmtId="0" fontId="8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9" fillId="4" borderId="4" xfId="0" applyFont="1" applyFill="1" applyBorder="1"/>
    <xf numFmtId="1" fontId="9" fillId="4" borderId="5" xfId="0" applyNumberFormat="1" applyFont="1" applyFill="1" applyBorder="1" applyAlignment="1">
      <alignment horizontal="center" vertical="center"/>
    </xf>
    <xf numFmtId="2" fontId="9" fillId="4" borderId="5" xfId="0" applyNumberFormat="1" applyFont="1" applyFill="1" applyBorder="1" applyAlignment="1">
      <alignment horizontal="center" vertical="center"/>
    </xf>
    <xf numFmtId="1" fontId="10" fillId="4" borderId="5" xfId="0" applyNumberFormat="1" applyFont="1" applyFill="1" applyBorder="1" applyAlignment="1">
      <alignment horizontal="center" vertical="center"/>
    </xf>
    <xf numFmtId="1" fontId="11" fillId="4" borderId="6" xfId="0" applyNumberFormat="1" applyFont="1" applyFill="1" applyBorder="1" applyAlignment="1">
      <alignment horizontal="center" vertical="center"/>
    </xf>
    <xf numFmtId="1" fontId="9" fillId="5" borderId="2" xfId="0" applyNumberFormat="1" applyFont="1" applyFill="1" applyBorder="1" applyAlignment="1">
      <alignment horizontal="center" vertical="center"/>
    </xf>
    <xf numFmtId="2" fontId="9" fillId="5" borderId="2" xfId="0" applyNumberFormat="1" applyFont="1" applyFill="1" applyBorder="1" applyAlignment="1">
      <alignment horizontal="center" vertical="center"/>
    </xf>
    <xf numFmtId="1" fontId="10" fillId="5" borderId="2" xfId="0" applyNumberFormat="1" applyFont="1" applyFill="1" applyBorder="1" applyAlignment="1">
      <alignment horizontal="center" vertical="center"/>
    </xf>
    <xf numFmtId="1" fontId="11" fillId="5" borderId="2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5" fillId="2" borderId="4" xfId="0" applyFont="1" applyFill="1" applyBorder="1" applyAlignment="1">
      <alignment horizontal="center"/>
    </xf>
    <xf numFmtId="0" fontId="6" fillId="0" borderId="6" xfId="0" applyFont="1" applyBorder="1"/>
    <xf numFmtId="0" fontId="7" fillId="2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3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/>
      </fill>
    </dxf>
    <dxf>
      <fill>
        <patternFill patternType="solid">
          <fgColor rgb="FFDBE5F1"/>
          <bgColor rgb="FFDBE5F1"/>
        </patternFill>
      </fill>
    </dxf>
    <dxf>
      <fill>
        <patternFill patternType="none"/>
      </fill>
    </dxf>
    <dxf>
      <fill>
        <patternFill patternType="none"/>
      </fill>
    </dxf>
  </dxfs>
  <tableStyles count="1">
    <tableStyle name="Test_Report-style" pivot="0" count="4" xr9:uid="{00000000-0011-0000-FFFF-FFFF00000000}">
      <tableStyleElement type="headerRow" dxfId="31"/>
      <tableStyleElement type="totalRow" dxfId="30"/>
      <tableStyleElement type="firstRowStripe" dxfId="29"/>
      <tableStyleElement type="secondRowStripe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IN" sz="1400"/>
              <a:t>Overall Pass vs Error Rate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285F4"/>
              </a:solidFill>
            </c:spPr>
            <c:extLst>
              <c:ext xmlns:c16="http://schemas.microsoft.com/office/drawing/2014/chart" uri="{C3380CC4-5D6E-409C-BE32-E72D297353CC}">
                <c16:uniqueId val="{00000001-CC3D-4BB5-B5C0-8C473E06E8BA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</c:spPr>
            <c:extLst>
              <c:ext xmlns:c16="http://schemas.microsoft.com/office/drawing/2014/chart" uri="{C3380CC4-5D6E-409C-BE32-E72D297353CC}">
                <c16:uniqueId val="{00000003-CC3D-4BB5-B5C0-8C473E06E8BA}"/>
              </c:ext>
            </c:extLst>
          </c:dPt>
          <c:dLbls>
            <c:dLbl>
              <c:idx val="0"/>
              <c:layout>
                <c:manualLayout>
                  <c:x val="0.17808854120139359"/>
                  <c:y val="-0.13572880002902871"/>
                </c:manualLayout>
              </c:layout>
              <c:tx>
                <c:rich>
                  <a:bodyPr/>
                  <a:lstStyle/>
                  <a:p>
                    <a:pPr>
                      <a:defRPr sz="1400" b="1"/>
                    </a:pPr>
                    <a:fld id="{6A350BB0-511A-43ED-9BDE-75FC0DA696F0}" type="VALUE">
                      <a:rPr lang="en-US" sz="1400" b="1">
                        <a:solidFill>
                          <a:srgbClr val="00B050"/>
                        </a:solidFill>
                      </a:rPr>
                      <a:pPr>
                        <a:defRPr sz="1400" b="1"/>
                      </a:pPr>
                      <a:t>[VALUE]</a:t>
                    </a:fld>
                    <a:endParaRPr lang="en-IN"/>
                  </a:p>
                </c:rich>
              </c:tx>
              <c:spPr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C3D-4BB5-B5C0-8C473E06E8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 sz="1400" b="1"/>
                    </a:pPr>
                    <a:fld id="{6B47B04E-1930-41F7-BAEC-0A6BCEB24AEC}" type="VALUE">
                      <a:rPr lang="en-US" sz="1400" b="1">
                        <a:solidFill>
                          <a:srgbClr val="FF0000"/>
                        </a:solidFill>
                      </a:rPr>
                      <a:pPr>
                        <a:defRPr sz="1400" b="1"/>
                      </a:pPr>
                      <a:t>[VALUE]</a:t>
                    </a:fld>
                    <a:endParaRPr lang="en-IN"/>
                  </a:p>
                </c:rich>
              </c:tx>
              <c:spPr/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C3D-4BB5-B5C0-8C473E06E8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 b="1"/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Graphs_Summary!$A$2:$A$3</c:f>
              <c:strCache>
                <c:ptCount val="2"/>
                <c:pt idx="0">
                  <c:v>Pass %</c:v>
                </c:pt>
                <c:pt idx="1">
                  <c:v>Error %</c:v>
                </c:pt>
              </c:strCache>
            </c:strRef>
          </c:cat>
          <c:val>
            <c:numRef>
              <c:f>Graphs_Summary!$B$2:$B$3</c:f>
              <c:numCache>
                <c:formatCode>0.00%</c:formatCode>
                <c:ptCount val="2"/>
                <c:pt idx="0">
                  <c:v>0.94670615843691786</c:v>
                </c:pt>
                <c:pt idx="1">
                  <c:v>5.3293841563082069E-2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3D-4BB5-B5C0-8C473E06E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zero"/>
    <c:showDLblsOverMax val="1"/>
  </c:chart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rgbClr val="FF0000"/>
                </a:solidFill>
                <a:latin typeface="+mn-lt"/>
              </a:defRPr>
            </a:pPr>
            <a:r>
              <a:rPr lang="en-IN" sz="1800" b="1" i="0">
                <a:solidFill>
                  <a:srgbClr val="FF0000"/>
                </a:solidFill>
                <a:latin typeface="+mn-lt"/>
              </a:rPr>
              <a:t>Error Rate By Api</a:t>
            </a:r>
          </a:p>
        </c:rich>
      </c:tx>
      <c:layout>
        <c:manualLayout>
          <c:xMode val="edge"/>
          <c:yMode val="edge"/>
          <c:x val="0.36081954704115593"/>
          <c:y val="3.1527093596059111E-2"/>
        </c:manualLayout>
      </c:layout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Graphs_Summary!$G$2</c:f>
              <c:strCache>
                <c:ptCount val="1"/>
                <c:pt idx="0">
                  <c:v>Fail%</c:v>
                </c:pt>
              </c:strCache>
            </c:strRef>
          </c:tx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Graphs_Summary!$D$3:$D$8</c:f>
              <c:strCache>
                <c:ptCount val="6"/>
                <c:pt idx="0">
                  <c:v>01-getControlBoard</c:v>
                </c:pt>
                <c:pt idx="1">
                  <c:v>05-getCFGCrewDetails</c:v>
                </c:pt>
                <c:pt idx="2">
                  <c:v>11-getFlightDetailByFlightDateStdLclv3</c:v>
                </c:pt>
                <c:pt idx="3">
                  <c:v>27-getFuelCompDataForId</c:v>
                </c:pt>
                <c:pt idx="4">
                  <c:v>78-CateringManager_pinFlight</c:v>
                </c:pt>
                <c:pt idx="5">
                  <c:v>Total</c:v>
                </c:pt>
              </c:strCache>
            </c:strRef>
          </c:cat>
          <c:val>
            <c:numRef>
              <c:f>Graphs_Summary!$G$3:$G$8</c:f>
              <c:numCache>
                <c:formatCode>0.00%</c:formatCode>
                <c:ptCount val="6"/>
                <c:pt idx="0">
                  <c:v>0.79254999999999998</c:v>
                </c:pt>
                <c:pt idx="1">
                  <c:v>1.0300000000000001E-3</c:v>
                </c:pt>
                <c:pt idx="2">
                  <c:v>0.85490999999999995</c:v>
                </c:pt>
                <c:pt idx="3">
                  <c:v>1.66E-3</c:v>
                </c:pt>
                <c:pt idx="4">
                  <c:v>0.26316000000000001</c:v>
                </c:pt>
                <c:pt idx="5">
                  <c:v>5.3293841563082069E-2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2-4AB7-B3E9-8B80C2288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4058504"/>
        <c:axId val="1412866425"/>
      </c:barChart>
      <c:catAx>
        <c:axId val="153405850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IN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FF0000"/>
                </a:solidFill>
                <a:latin typeface="+mn-lt"/>
              </a:defRPr>
            </a:pPr>
            <a:endParaRPr lang="en-US"/>
          </a:p>
        </c:txPr>
        <c:crossAx val="1412866425"/>
        <c:crosses val="autoZero"/>
        <c:auto val="1"/>
        <c:lblAlgn val="ctr"/>
        <c:lblOffset val="100"/>
        <c:noMultiLvlLbl val="1"/>
      </c:catAx>
      <c:valAx>
        <c:axId val="1412866425"/>
        <c:scaling>
          <c:orientation val="minMax"/>
        </c:scaling>
        <c:delete val="0"/>
        <c:axPos val="b"/>
        <c:numFmt formatCode="0.00%" sourceLinked="1"/>
        <c:majorTickMark val="cross"/>
        <c:minorTickMark val="cross"/>
        <c:tickLblPos val="nextTo"/>
        <c:spPr>
          <a:ln>
            <a:noFill/>
          </a:ln>
        </c:spPr>
        <c:crossAx val="1534058504"/>
        <c:crosses val="max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</xdr:colOff>
      <xdr:row>2</xdr:row>
      <xdr:rowOff>171450</xdr:rowOff>
    </xdr:from>
    <xdr:ext cx="3917950" cy="27559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11</xdr:col>
      <xdr:colOff>12700</xdr:colOff>
      <xdr:row>19</xdr:row>
      <xdr:rowOff>136525</xdr:rowOff>
    </xdr:from>
    <xdr:ext cx="7442200" cy="2473325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J72" totalsRowCount="1" totalsRowDxfId="17" totalsRowBorderDxfId="16">
  <autoFilter ref="A1:J71" xr:uid="{00000000-000C-0000-FFFF-FFFF00000000}"/>
  <tableColumns count="10">
    <tableColumn id="1" xr3:uid="{00000000-0010-0000-0000-000001000000}" name="Label" totalsRowLabel="Total" dataDxfId="21" totalsRowDxfId="15">
      <calculatedColumnFormula>'Aggregate Report'!A2</calculatedColumnFormula>
    </tableColumn>
    <tableColumn id="2" xr3:uid="{00000000-0010-0000-0000-000002000000}" name="#Samples" totalsRowFunction="sum" dataDxfId="27" totalsRowDxfId="14">
      <calculatedColumnFormula>_xlfn.XLOOKUP($A2,'Aggregate Report'!$A:$A,'Aggregate Report'!$B:$B)</calculatedColumnFormula>
    </tableColumn>
    <tableColumn id="3" xr3:uid="{00000000-0010-0000-0000-000003000000}" name="Min" dataDxfId="26" totalsRowDxfId="13">
      <calculatedColumnFormula>_xlfn.XLOOKUP($A2,'Aggregate Report'!$A:$A,'Aggregate Report'!$H:$H)/1000</calculatedColumnFormula>
    </tableColumn>
    <tableColumn id="4" xr3:uid="{00000000-0010-0000-0000-000004000000}" name="Average" dataDxfId="25" totalsRowDxfId="12">
      <calculatedColumnFormula>_xlfn.XLOOKUP($A2,'Aggregate Report'!$A:$A,'Aggregate Report'!$C:$C)/1000</calculatedColumnFormula>
    </tableColumn>
    <tableColumn id="5" xr3:uid="{00000000-0010-0000-0000-000005000000}" name="Max" dataDxfId="24" totalsRowDxfId="11">
      <calculatedColumnFormula>_xlfn.XLOOKUP($A2,'Aggregate Report'!$A:$A,'Aggregate Report'!$I:$I)/1000</calculatedColumnFormula>
    </tableColumn>
    <tableColumn id="6" xr3:uid="{00000000-0010-0000-0000-000006000000}" name="90% Line" dataDxfId="23" totalsRowDxfId="10">
      <calculatedColumnFormula>_xlfn.XLOOKUP($A2,'Aggregate Report'!$A:$A,'Aggregate Report'!$E:$E)/1000</calculatedColumnFormula>
    </tableColumn>
    <tableColumn id="7" xr3:uid="{00000000-0010-0000-0000-000007000000}" name="95% Line" dataDxfId="22" totalsRowDxfId="9">
      <calculatedColumnFormula>_xlfn.XLOOKUP($A2,'Aggregate Report'!$A:$A,'Aggregate Report'!$F:$F)/1000</calculatedColumnFormula>
    </tableColumn>
    <tableColumn id="8" xr3:uid="{00000000-0010-0000-0000-000008000000}" name="99% Line" dataDxfId="20" totalsRowDxfId="8">
      <calculatedColumnFormula>_xlfn.XLOOKUP($A2,'Aggregate Report'!$A:$A,'Aggregate Report'!$G:$G)/1000</calculatedColumnFormula>
    </tableColumn>
    <tableColumn id="9" xr3:uid="{00000000-0010-0000-0000-000009000000}" name="Pass" totalsRowFunction="sum" dataDxfId="19" totalsRowDxfId="7">
      <calculatedColumnFormula>B2-J2</calculatedColumnFormula>
    </tableColumn>
    <tableColumn id="10" xr3:uid="{00000000-0010-0000-0000-00000A000000}" name="Fail" totalsRowFunction="sum" dataDxfId="18" totalsRowDxfId="6">
      <calculatedColumnFormula>'Aggregate Report'!J2 * B2</calculatedColumnFormula>
    </tableColumn>
  </tableColumns>
  <tableStyleInfo name="TableStyleLight9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"/>
  <sheetViews>
    <sheetView workbookViewId="0">
      <pane ySplit="1" topLeftCell="A2" activePane="bottomLeft" state="frozen"/>
      <selection pane="bottomLeft" activeCell="A72" sqref="A72:XFD85"/>
    </sheetView>
  </sheetViews>
  <sheetFormatPr defaultColWidth="14.453125" defaultRowHeight="15" customHeight="1" x14ac:dyDescent="0.35"/>
  <cols>
    <col min="1" max="1" width="50.08984375" customWidth="1"/>
    <col min="2" max="2" width="11.08984375" bestFit="1" customWidth="1"/>
    <col min="3" max="3" width="15" bestFit="1" customWidth="1"/>
    <col min="4" max="4" width="14.453125" bestFit="1" customWidth="1"/>
    <col min="5" max="7" width="15.6328125" bestFit="1" customWidth="1"/>
    <col min="8" max="8" width="10.453125" bestFit="1" customWidth="1"/>
    <col min="9" max="9" width="10.90625" bestFit="1" customWidth="1"/>
    <col min="10" max="10" width="8.7265625" style="45" bestFit="1" customWidth="1"/>
    <col min="11" max="11" width="23.90625" bestFit="1" customWidth="1"/>
    <col min="12" max="12" width="18.54296875" bestFit="1" customWidth="1"/>
    <col min="13" max="13" width="8.7265625" customWidth="1"/>
  </cols>
  <sheetData>
    <row r="1" spans="1:13" ht="17.5" customHeight="1" x14ac:dyDescent="0.4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</row>
    <row r="2" spans="1:13" ht="14.25" customHeight="1" x14ac:dyDescent="0.35">
      <c r="A2" t="s">
        <v>28</v>
      </c>
      <c r="B2">
        <v>993</v>
      </c>
      <c r="C2">
        <v>18721</v>
      </c>
      <c r="D2">
        <v>20142</v>
      </c>
      <c r="E2">
        <v>20273</v>
      </c>
      <c r="F2">
        <v>20379</v>
      </c>
      <c r="G2">
        <v>21443</v>
      </c>
      <c r="H2">
        <v>6265</v>
      </c>
      <c r="I2">
        <v>22546</v>
      </c>
      <c r="J2" s="11">
        <v>0.79254999999999998</v>
      </c>
      <c r="K2">
        <v>0.93066000000000004</v>
      </c>
      <c r="L2">
        <v>418.4</v>
      </c>
      <c r="M2">
        <v>2.54</v>
      </c>
    </row>
    <row r="3" spans="1:13" ht="14.25" customHeight="1" x14ac:dyDescent="0.35">
      <c r="A3" t="s">
        <v>29</v>
      </c>
      <c r="B3">
        <v>974</v>
      </c>
      <c r="C3">
        <v>386</v>
      </c>
      <c r="D3">
        <v>233</v>
      </c>
      <c r="E3">
        <v>721</v>
      </c>
      <c r="F3">
        <v>1211</v>
      </c>
      <c r="G3">
        <v>1943</v>
      </c>
      <c r="H3">
        <v>128</v>
      </c>
      <c r="I3">
        <v>15945</v>
      </c>
      <c r="J3" s="11">
        <v>0</v>
      </c>
      <c r="K3">
        <v>0.93328999999999995</v>
      </c>
      <c r="L3">
        <v>1.39</v>
      </c>
      <c r="M3">
        <v>1.66</v>
      </c>
    </row>
    <row r="4" spans="1:13" ht="14.25" customHeight="1" x14ac:dyDescent="0.35">
      <c r="A4" t="s">
        <v>30</v>
      </c>
      <c r="B4">
        <v>972</v>
      </c>
      <c r="C4">
        <v>2236</v>
      </c>
      <c r="D4">
        <v>1678</v>
      </c>
      <c r="E4">
        <v>4568</v>
      </c>
      <c r="F4">
        <v>5470</v>
      </c>
      <c r="G4">
        <v>6944</v>
      </c>
      <c r="H4">
        <v>186</v>
      </c>
      <c r="I4">
        <v>8466</v>
      </c>
      <c r="J4" s="11">
        <v>0</v>
      </c>
      <c r="K4">
        <v>0.93272999999999995</v>
      </c>
      <c r="L4">
        <v>9.1199999999999992</v>
      </c>
      <c r="M4">
        <v>1.74</v>
      </c>
    </row>
    <row r="5" spans="1:13" ht="14.25" customHeight="1" x14ac:dyDescent="0.35">
      <c r="A5" t="s">
        <v>31</v>
      </c>
      <c r="B5">
        <v>971</v>
      </c>
      <c r="C5">
        <v>648</v>
      </c>
      <c r="D5">
        <v>510</v>
      </c>
      <c r="E5">
        <v>1296</v>
      </c>
      <c r="F5">
        <v>1517</v>
      </c>
      <c r="G5">
        <v>2096</v>
      </c>
      <c r="H5">
        <v>144</v>
      </c>
      <c r="I5">
        <v>3326</v>
      </c>
      <c r="J5" s="11">
        <v>0</v>
      </c>
      <c r="K5">
        <v>0.93344000000000005</v>
      </c>
      <c r="L5">
        <v>1.49</v>
      </c>
      <c r="M5">
        <v>1.65</v>
      </c>
    </row>
    <row r="6" spans="1:13" ht="14.25" customHeight="1" x14ac:dyDescent="0.35">
      <c r="A6" t="s">
        <v>32</v>
      </c>
      <c r="B6">
        <v>971</v>
      </c>
      <c r="C6">
        <v>650</v>
      </c>
      <c r="D6">
        <v>143</v>
      </c>
      <c r="E6">
        <v>1574</v>
      </c>
      <c r="F6">
        <v>2935</v>
      </c>
      <c r="G6">
        <v>7734</v>
      </c>
      <c r="H6">
        <v>67</v>
      </c>
      <c r="I6">
        <v>20068</v>
      </c>
      <c r="J6" s="11">
        <v>1.0300000000000001E-3</v>
      </c>
      <c r="K6">
        <v>0.93145999999999995</v>
      </c>
      <c r="L6">
        <v>1.37</v>
      </c>
      <c r="M6">
        <v>1.56</v>
      </c>
    </row>
    <row r="7" spans="1:13" ht="14.25" customHeight="1" x14ac:dyDescent="0.35">
      <c r="A7" t="s">
        <v>33</v>
      </c>
      <c r="B7">
        <v>969</v>
      </c>
      <c r="C7">
        <v>2322</v>
      </c>
      <c r="D7">
        <v>1881</v>
      </c>
      <c r="E7">
        <v>4428</v>
      </c>
      <c r="F7">
        <v>4843</v>
      </c>
      <c r="G7">
        <v>6083</v>
      </c>
      <c r="H7">
        <v>470</v>
      </c>
      <c r="I7">
        <v>17933</v>
      </c>
      <c r="J7" s="11">
        <v>0</v>
      </c>
      <c r="K7">
        <v>0.93317000000000005</v>
      </c>
      <c r="L7">
        <v>1199.74</v>
      </c>
      <c r="M7">
        <v>1.8</v>
      </c>
    </row>
    <row r="8" spans="1:13" ht="14.25" customHeight="1" x14ac:dyDescent="0.35">
      <c r="A8" t="s">
        <v>34</v>
      </c>
      <c r="B8">
        <v>967</v>
      </c>
      <c r="C8">
        <v>1290</v>
      </c>
      <c r="D8">
        <v>1012</v>
      </c>
      <c r="E8">
        <v>2510</v>
      </c>
      <c r="F8">
        <v>2898</v>
      </c>
      <c r="G8">
        <v>3551</v>
      </c>
      <c r="H8">
        <v>306</v>
      </c>
      <c r="I8">
        <v>6198</v>
      </c>
      <c r="J8" s="11">
        <v>0</v>
      </c>
      <c r="K8">
        <v>0.93144000000000005</v>
      </c>
      <c r="L8">
        <v>441.15</v>
      </c>
      <c r="M8">
        <v>1.78</v>
      </c>
    </row>
    <row r="9" spans="1:13" ht="14.25" customHeight="1" x14ac:dyDescent="0.35">
      <c r="A9" t="s">
        <v>35</v>
      </c>
      <c r="B9">
        <v>643</v>
      </c>
      <c r="C9">
        <v>160</v>
      </c>
      <c r="D9">
        <v>130</v>
      </c>
      <c r="E9">
        <v>248</v>
      </c>
      <c r="F9">
        <v>304</v>
      </c>
      <c r="G9">
        <v>823</v>
      </c>
      <c r="H9">
        <v>63</v>
      </c>
      <c r="I9">
        <v>1237</v>
      </c>
      <c r="J9" s="11">
        <v>0</v>
      </c>
      <c r="K9">
        <v>0.62246999999999997</v>
      </c>
      <c r="L9">
        <v>1.41</v>
      </c>
      <c r="M9">
        <v>1.04</v>
      </c>
    </row>
    <row r="10" spans="1:13" ht="14.25" customHeight="1" x14ac:dyDescent="0.35">
      <c r="A10" t="s">
        <v>36</v>
      </c>
      <c r="B10">
        <v>643</v>
      </c>
      <c r="C10">
        <v>307</v>
      </c>
      <c r="D10">
        <v>274</v>
      </c>
      <c r="E10">
        <v>356</v>
      </c>
      <c r="F10">
        <v>390</v>
      </c>
      <c r="G10">
        <v>1127</v>
      </c>
      <c r="H10">
        <v>217</v>
      </c>
      <c r="I10">
        <v>2527</v>
      </c>
      <c r="J10" s="11">
        <v>0</v>
      </c>
      <c r="K10">
        <v>0.62238000000000004</v>
      </c>
      <c r="L10">
        <v>0.63</v>
      </c>
      <c r="M10">
        <v>1.05</v>
      </c>
    </row>
    <row r="11" spans="1:13" ht="14.25" customHeight="1" x14ac:dyDescent="0.35">
      <c r="A11" t="s">
        <v>37</v>
      </c>
      <c r="B11">
        <v>643</v>
      </c>
      <c r="C11">
        <v>195</v>
      </c>
      <c r="D11">
        <v>170</v>
      </c>
      <c r="E11">
        <v>267</v>
      </c>
      <c r="F11">
        <v>316</v>
      </c>
      <c r="G11">
        <v>513</v>
      </c>
      <c r="H11">
        <v>102</v>
      </c>
      <c r="I11">
        <v>3062</v>
      </c>
      <c r="J11" s="11">
        <v>0</v>
      </c>
      <c r="K11">
        <v>0.62243000000000004</v>
      </c>
      <c r="L11">
        <v>0.73</v>
      </c>
      <c r="M11">
        <v>1.7</v>
      </c>
    </row>
    <row r="12" spans="1:13" ht="14.25" customHeight="1" x14ac:dyDescent="0.35">
      <c r="A12" t="s">
        <v>38</v>
      </c>
      <c r="B12">
        <v>641</v>
      </c>
      <c r="C12">
        <v>19083</v>
      </c>
      <c r="D12">
        <v>20062</v>
      </c>
      <c r="E12">
        <v>20106</v>
      </c>
      <c r="F12">
        <v>20146</v>
      </c>
      <c r="G12">
        <v>20574</v>
      </c>
      <c r="H12">
        <v>7732</v>
      </c>
      <c r="I12">
        <v>21979</v>
      </c>
      <c r="J12" s="11">
        <v>0.85490999999999995</v>
      </c>
      <c r="K12">
        <v>0.60955000000000004</v>
      </c>
      <c r="L12">
        <v>126.9</v>
      </c>
      <c r="M12">
        <v>1.65</v>
      </c>
    </row>
    <row r="13" spans="1:13" ht="14.25" customHeight="1" x14ac:dyDescent="0.35">
      <c r="A13" t="s">
        <v>86</v>
      </c>
      <c r="B13">
        <v>631</v>
      </c>
      <c r="C13">
        <v>3816</v>
      </c>
      <c r="D13">
        <v>2717</v>
      </c>
      <c r="E13">
        <v>8197</v>
      </c>
      <c r="F13">
        <v>9550</v>
      </c>
      <c r="G13">
        <v>11389</v>
      </c>
      <c r="H13">
        <v>476</v>
      </c>
      <c r="I13">
        <v>13708</v>
      </c>
      <c r="J13" s="11">
        <v>0</v>
      </c>
      <c r="K13">
        <v>0.61136000000000001</v>
      </c>
      <c r="L13">
        <v>47.72</v>
      </c>
      <c r="M13">
        <v>1.63</v>
      </c>
    </row>
    <row r="14" spans="1:13" ht="14.25" customHeight="1" x14ac:dyDescent="0.35">
      <c r="A14" t="s">
        <v>39</v>
      </c>
      <c r="B14">
        <v>627</v>
      </c>
      <c r="C14">
        <v>705</v>
      </c>
      <c r="D14">
        <v>625</v>
      </c>
      <c r="E14">
        <v>1072</v>
      </c>
      <c r="F14">
        <v>1210</v>
      </c>
      <c r="G14">
        <v>1900</v>
      </c>
      <c r="H14">
        <v>201</v>
      </c>
      <c r="I14">
        <v>3625</v>
      </c>
      <c r="J14" s="11">
        <v>0</v>
      </c>
      <c r="K14">
        <v>0.61365999999999998</v>
      </c>
      <c r="L14">
        <v>0.69</v>
      </c>
      <c r="M14">
        <v>1.07</v>
      </c>
    </row>
    <row r="15" spans="1:13" ht="14.25" customHeight="1" x14ac:dyDescent="0.35">
      <c r="A15" t="s">
        <v>40</v>
      </c>
      <c r="B15">
        <v>627</v>
      </c>
      <c r="C15">
        <v>517</v>
      </c>
      <c r="D15">
        <v>391</v>
      </c>
      <c r="E15">
        <v>990</v>
      </c>
      <c r="F15">
        <v>1196</v>
      </c>
      <c r="G15">
        <v>1995</v>
      </c>
      <c r="H15">
        <v>114</v>
      </c>
      <c r="I15">
        <v>2817</v>
      </c>
      <c r="J15" s="11">
        <v>0</v>
      </c>
      <c r="K15">
        <v>0.61377000000000004</v>
      </c>
      <c r="L15">
        <v>0.9</v>
      </c>
      <c r="M15">
        <v>1</v>
      </c>
    </row>
    <row r="16" spans="1:13" ht="14.25" customHeight="1" x14ac:dyDescent="0.35">
      <c r="A16" t="s">
        <v>41</v>
      </c>
      <c r="B16">
        <v>626</v>
      </c>
      <c r="C16">
        <v>947</v>
      </c>
      <c r="D16">
        <v>728</v>
      </c>
      <c r="E16">
        <v>1798</v>
      </c>
      <c r="F16">
        <v>2483</v>
      </c>
      <c r="G16">
        <v>3516</v>
      </c>
      <c r="H16">
        <v>155</v>
      </c>
      <c r="I16">
        <v>4459</v>
      </c>
      <c r="J16" s="11">
        <v>0</v>
      </c>
      <c r="K16">
        <v>0.61514000000000002</v>
      </c>
      <c r="L16">
        <v>35.89</v>
      </c>
      <c r="M16">
        <v>1.06</v>
      </c>
    </row>
    <row r="17" spans="1:13" ht="14.25" customHeight="1" x14ac:dyDescent="0.35">
      <c r="A17" t="s">
        <v>42</v>
      </c>
      <c r="B17">
        <v>626</v>
      </c>
      <c r="C17">
        <v>136</v>
      </c>
      <c r="D17">
        <v>114</v>
      </c>
      <c r="E17">
        <v>209</v>
      </c>
      <c r="F17">
        <v>250</v>
      </c>
      <c r="G17">
        <v>385</v>
      </c>
      <c r="H17">
        <v>60</v>
      </c>
      <c r="I17">
        <v>1422</v>
      </c>
      <c r="J17" s="11">
        <v>0</v>
      </c>
      <c r="K17">
        <v>0.61658999999999997</v>
      </c>
      <c r="L17">
        <v>0.64</v>
      </c>
      <c r="M17">
        <v>1</v>
      </c>
    </row>
    <row r="18" spans="1:13" ht="14.25" customHeight="1" x14ac:dyDescent="0.35">
      <c r="A18" t="s">
        <v>43</v>
      </c>
      <c r="B18">
        <v>626</v>
      </c>
      <c r="C18">
        <v>1204</v>
      </c>
      <c r="D18">
        <v>968</v>
      </c>
      <c r="E18">
        <v>2260</v>
      </c>
      <c r="F18">
        <v>2589</v>
      </c>
      <c r="G18">
        <v>3534</v>
      </c>
      <c r="H18">
        <v>215</v>
      </c>
      <c r="I18">
        <v>5702</v>
      </c>
      <c r="J18" s="11">
        <v>0</v>
      </c>
      <c r="K18">
        <v>0.61497999999999997</v>
      </c>
      <c r="L18">
        <v>370.35</v>
      </c>
      <c r="M18">
        <v>2.5</v>
      </c>
    </row>
    <row r="19" spans="1:13" ht="14.25" customHeight="1" x14ac:dyDescent="0.35">
      <c r="A19" t="s">
        <v>44</v>
      </c>
      <c r="B19">
        <v>625</v>
      </c>
      <c r="C19">
        <v>8951</v>
      </c>
      <c r="D19">
        <v>9008</v>
      </c>
      <c r="E19">
        <v>10341</v>
      </c>
      <c r="F19">
        <v>11052</v>
      </c>
      <c r="G19">
        <v>12140</v>
      </c>
      <c r="H19">
        <v>5898</v>
      </c>
      <c r="I19">
        <v>14085</v>
      </c>
      <c r="J19" s="11">
        <v>0</v>
      </c>
      <c r="K19">
        <v>0.60965999999999998</v>
      </c>
      <c r="L19">
        <v>9.3000000000000007</v>
      </c>
      <c r="M19">
        <v>1.02</v>
      </c>
    </row>
    <row r="20" spans="1:13" ht="14.25" customHeight="1" x14ac:dyDescent="0.35">
      <c r="A20" t="s">
        <v>45</v>
      </c>
      <c r="B20">
        <v>618</v>
      </c>
      <c r="C20">
        <v>296</v>
      </c>
      <c r="D20">
        <v>265</v>
      </c>
      <c r="E20">
        <v>409</v>
      </c>
      <c r="F20">
        <v>480</v>
      </c>
      <c r="G20">
        <v>844</v>
      </c>
      <c r="H20">
        <v>157</v>
      </c>
      <c r="I20">
        <v>1957</v>
      </c>
      <c r="J20" s="11">
        <v>0</v>
      </c>
      <c r="K20">
        <v>0.61324000000000001</v>
      </c>
      <c r="L20">
        <v>16.73</v>
      </c>
      <c r="M20">
        <v>1.02</v>
      </c>
    </row>
    <row r="21" spans="1:13" ht="14.25" customHeight="1" x14ac:dyDescent="0.35">
      <c r="A21" t="s">
        <v>46</v>
      </c>
      <c r="B21">
        <v>618</v>
      </c>
      <c r="C21">
        <v>140</v>
      </c>
      <c r="D21">
        <v>118</v>
      </c>
      <c r="E21">
        <v>210</v>
      </c>
      <c r="F21">
        <v>268</v>
      </c>
      <c r="G21">
        <v>384</v>
      </c>
      <c r="H21">
        <v>61</v>
      </c>
      <c r="I21">
        <v>1243</v>
      </c>
      <c r="J21" s="11">
        <v>0</v>
      </c>
      <c r="K21">
        <v>0.61323000000000005</v>
      </c>
      <c r="L21">
        <v>0.62</v>
      </c>
      <c r="M21">
        <v>1.1200000000000001</v>
      </c>
    </row>
    <row r="22" spans="1:13" ht="14.25" customHeight="1" x14ac:dyDescent="0.35">
      <c r="A22" t="s">
        <v>47</v>
      </c>
      <c r="B22">
        <v>618</v>
      </c>
      <c r="C22">
        <v>163</v>
      </c>
      <c r="D22">
        <v>132</v>
      </c>
      <c r="E22">
        <v>252</v>
      </c>
      <c r="F22">
        <v>327</v>
      </c>
      <c r="G22">
        <v>583</v>
      </c>
      <c r="H22">
        <v>59</v>
      </c>
      <c r="I22">
        <v>1201</v>
      </c>
      <c r="J22" s="11">
        <v>0</v>
      </c>
      <c r="K22">
        <v>0.61319999999999997</v>
      </c>
      <c r="L22">
        <v>0.62</v>
      </c>
      <c r="M22">
        <v>1.04</v>
      </c>
    </row>
    <row r="23" spans="1:13" ht="14.25" customHeight="1" x14ac:dyDescent="0.35">
      <c r="A23" t="s">
        <v>48</v>
      </c>
      <c r="B23">
        <v>617</v>
      </c>
      <c r="C23">
        <v>136</v>
      </c>
      <c r="D23">
        <v>117</v>
      </c>
      <c r="E23">
        <v>196</v>
      </c>
      <c r="F23">
        <v>232</v>
      </c>
      <c r="G23">
        <v>346</v>
      </c>
      <c r="H23">
        <v>63</v>
      </c>
      <c r="I23">
        <v>2188</v>
      </c>
      <c r="J23" s="11">
        <v>0</v>
      </c>
      <c r="K23">
        <v>0.61236999999999997</v>
      </c>
      <c r="L23">
        <v>0.62</v>
      </c>
      <c r="M23">
        <v>1.33</v>
      </c>
    </row>
    <row r="24" spans="1:13" ht="14.25" customHeight="1" x14ac:dyDescent="0.35">
      <c r="A24" t="s">
        <v>49</v>
      </c>
      <c r="B24">
        <v>616</v>
      </c>
      <c r="C24">
        <v>138</v>
      </c>
      <c r="D24">
        <v>114</v>
      </c>
      <c r="E24">
        <v>212</v>
      </c>
      <c r="F24">
        <v>273</v>
      </c>
      <c r="G24">
        <v>416</v>
      </c>
      <c r="H24">
        <v>59</v>
      </c>
      <c r="I24">
        <v>2486</v>
      </c>
      <c r="J24" s="11">
        <v>0</v>
      </c>
      <c r="K24">
        <v>0.61331000000000002</v>
      </c>
      <c r="L24">
        <v>0.63</v>
      </c>
      <c r="M24">
        <v>1.1299999999999999</v>
      </c>
    </row>
    <row r="25" spans="1:13" ht="14.25" customHeight="1" x14ac:dyDescent="0.35">
      <c r="A25" t="s">
        <v>50</v>
      </c>
      <c r="B25">
        <v>614</v>
      </c>
      <c r="C25">
        <v>110</v>
      </c>
      <c r="D25">
        <v>94</v>
      </c>
      <c r="E25">
        <v>150</v>
      </c>
      <c r="F25">
        <v>194</v>
      </c>
      <c r="G25">
        <v>352</v>
      </c>
      <c r="H25">
        <v>56</v>
      </c>
      <c r="I25">
        <v>1459</v>
      </c>
      <c r="J25" s="11">
        <v>0</v>
      </c>
      <c r="K25">
        <v>0.61368999999999996</v>
      </c>
      <c r="L25">
        <v>3.9</v>
      </c>
      <c r="M25">
        <v>0.99</v>
      </c>
    </row>
    <row r="26" spans="1:13" ht="14.25" customHeight="1" x14ac:dyDescent="0.35">
      <c r="A26" t="s">
        <v>51</v>
      </c>
      <c r="B26">
        <v>614</v>
      </c>
      <c r="C26">
        <v>140</v>
      </c>
      <c r="D26">
        <v>124</v>
      </c>
      <c r="E26">
        <v>204</v>
      </c>
      <c r="F26">
        <v>236</v>
      </c>
      <c r="G26">
        <v>415</v>
      </c>
      <c r="H26">
        <v>63</v>
      </c>
      <c r="I26">
        <v>1097</v>
      </c>
      <c r="J26" s="11">
        <v>0</v>
      </c>
      <c r="K26">
        <v>0.61358000000000001</v>
      </c>
      <c r="L26">
        <v>0.62</v>
      </c>
      <c r="M26">
        <v>1.08</v>
      </c>
    </row>
    <row r="27" spans="1:13" ht="14.25" customHeight="1" x14ac:dyDescent="0.35">
      <c r="A27" t="s">
        <v>52</v>
      </c>
      <c r="B27">
        <v>614</v>
      </c>
      <c r="C27">
        <v>8140</v>
      </c>
      <c r="D27">
        <v>7521</v>
      </c>
      <c r="E27">
        <v>11279</v>
      </c>
      <c r="F27">
        <v>12304</v>
      </c>
      <c r="G27">
        <v>14044</v>
      </c>
      <c r="H27">
        <v>4645</v>
      </c>
      <c r="I27">
        <v>16193</v>
      </c>
      <c r="J27" s="11">
        <v>0</v>
      </c>
      <c r="K27">
        <v>0.60857000000000006</v>
      </c>
      <c r="L27">
        <v>109.9</v>
      </c>
      <c r="M27">
        <v>1.18</v>
      </c>
    </row>
    <row r="28" spans="1:13" ht="14.25" customHeight="1" x14ac:dyDescent="0.35">
      <c r="A28" t="s">
        <v>53</v>
      </c>
      <c r="B28">
        <v>608</v>
      </c>
      <c r="C28">
        <v>1026</v>
      </c>
      <c r="D28">
        <v>887</v>
      </c>
      <c r="E28">
        <v>1632</v>
      </c>
      <c r="F28">
        <v>1800</v>
      </c>
      <c r="G28">
        <v>2365</v>
      </c>
      <c r="H28">
        <v>516</v>
      </c>
      <c r="I28">
        <v>3782</v>
      </c>
      <c r="J28" s="11">
        <v>0</v>
      </c>
      <c r="K28">
        <v>0.60992000000000002</v>
      </c>
      <c r="L28">
        <v>29.32</v>
      </c>
      <c r="M28">
        <v>1.18</v>
      </c>
    </row>
    <row r="29" spans="1:13" ht="14.25" customHeight="1" x14ac:dyDescent="0.35">
      <c r="A29" t="s">
        <v>54</v>
      </c>
      <c r="B29">
        <v>616</v>
      </c>
      <c r="C29">
        <v>5819</v>
      </c>
      <c r="D29">
        <v>5682</v>
      </c>
      <c r="E29">
        <v>6673</v>
      </c>
      <c r="F29">
        <v>7088</v>
      </c>
      <c r="G29">
        <v>8025</v>
      </c>
      <c r="H29">
        <v>4526</v>
      </c>
      <c r="I29">
        <v>8379</v>
      </c>
      <c r="J29" s="11">
        <v>0</v>
      </c>
      <c r="K29">
        <v>0.61007999999999996</v>
      </c>
      <c r="L29">
        <v>54.31</v>
      </c>
      <c r="M29">
        <v>1.1499999999999999</v>
      </c>
    </row>
    <row r="30" spans="1:13" ht="14.25" customHeight="1" x14ac:dyDescent="0.35">
      <c r="A30" t="s">
        <v>55</v>
      </c>
      <c r="B30">
        <v>603</v>
      </c>
      <c r="C30">
        <v>1914</v>
      </c>
      <c r="D30">
        <v>1497</v>
      </c>
      <c r="E30">
        <v>3684</v>
      </c>
      <c r="F30">
        <v>4236</v>
      </c>
      <c r="G30">
        <v>5595</v>
      </c>
      <c r="H30">
        <v>341</v>
      </c>
      <c r="I30">
        <v>7903</v>
      </c>
      <c r="J30" s="11">
        <v>0</v>
      </c>
      <c r="K30">
        <v>0.60892000000000002</v>
      </c>
      <c r="L30">
        <v>982.37</v>
      </c>
      <c r="M30">
        <v>1.21</v>
      </c>
    </row>
    <row r="31" spans="1:13" ht="14.25" customHeight="1" x14ac:dyDescent="0.35">
      <c r="A31" t="s">
        <v>56</v>
      </c>
      <c r="B31">
        <v>603</v>
      </c>
      <c r="C31">
        <v>164</v>
      </c>
      <c r="D31">
        <v>137</v>
      </c>
      <c r="E31">
        <v>239</v>
      </c>
      <c r="F31">
        <v>295</v>
      </c>
      <c r="G31">
        <v>570</v>
      </c>
      <c r="H31">
        <v>65</v>
      </c>
      <c r="I31">
        <v>1258</v>
      </c>
      <c r="J31" s="11">
        <v>1.66E-3</v>
      </c>
      <c r="K31">
        <v>0.60911000000000004</v>
      </c>
      <c r="L31">
        <v>2.4</v>
      </c>
      <c r="M31">
        <v>1.01</v>
      </c>
    </row>
    <row r="32" spans="1:13" ht="14.25" customHeight="1" x14ac:dyDescent="0.35">
      <c r="A32" t="s">
        <v>57</v>
      </c>
      <c r="B32">
        <v>322</v>
      </c>
      <c r="C32">
        <v>926</v>
      </c>
      <c r="D32">
        <v>708</v>
      </c>
      <c r="E32">
        <v>1702</v>
      </c>
      <c r="F32">
        <v>1976</v>
      </c>
      <c r="G32">
        <v>4172</v>
      </c>
      <c r="H32">
        <v>260</v>
      </c>
      <c r="I32">
        <v>4841</v>
      </c>
      <c r="J32" s="11">
        <v>0</v>
      </c>
      <c r="K32">
        <v>0.31134000000000001</v>
      </c>
      <c r="L32">
        <v>12.21</v>
      </c>
      <c r="M32">
        <v>1.32</v>
      </c>
    </row>
    <row r="33" spans="1:13" ht="14.25" customHeight="1" x14ac:dyDescent="0.35">
      <c r="A33" t="s">
        <v>58</v>
      </c>
      <c r="B33">
        <v>186</v>
      </c>
      <c r="C33">
        <v>134</v>
      </c>
      <c r="D33">
        <v>111</v>
      </c>
      <c r="E33">
        <v>185</v>
      </c>
      <c r="F33">
        <v>290</v>
      </c>
      <c r="G33">
        <v>588</v>
      </c>
      <c r="H33">
        <v>61</v>
      </c>
      <c r="I33">
        <v>641</v>
      </c>
      <c r="J33" s="11">
        <v>0</v>
      </c>
      <c r="K33">
        <v>0.1825</v>
      </c>
      <c r="L33">
        <v>0.2</v>
      </c>
      <c r="M33">
        <v>0.32</v>
      </c>
    </row>
    <row r="34" spans="1:13" ht="14.25" customHeight="1" x14ac:dyDescent="0.35">
      <c r="A34" t="s">
        <v>59</v>
      </c>
      <c r="B34">
        <v>186</v>
      </c>
      <c r="C34">
        <v>123</v>
      </c>
      <c r="D34">
        <v>104</v>
      </c>
      <c r="E34">
        <v>168</v>
      </c>
      <c r="F34">
        <v>233</v>
      </c>
      <c r="G34">
        <v>385</v>
      </c>
      <c r="H34">
        <v>60</v>
      </c>
      <c r="I34">
        <v>703</v>
      </c>
      <c r="J34" s="11">
        <v>0</v>
      </c>
      <c r="K34">
        <v>0.1825</v>
      </c>
      <c r="L34">
        <v>0.2</v>
      </c>
      <c r="M34">
        <v>0.3</v>
      </c>
    </row>
    <row r="35" spans="1:13" ht="14.25" customHeight="1" x14ac:dyDescent="0.35">
      <c r="A35" t="s">
        <v>60</v>
      </c>
      <c r="B35">
        <v>186</v>
      </c>
      <c r="C35">
        <v>131</v>
      </c>
      <c r="D35">
        <v>112</v>
      </c>
      <c r="E35">
        <v>186</v>
      </c>
      <c r="F35">
        <v>229</v>
      </c>
      <c r="G35">
        <v>514</v>
      </c>
      <c r="H35">
        <v>60</v>
      </c>
      <c r="I35">
        <v>1583</v>
      </c>
      <c r="J35" s="11">
        <v>0</v>
      </c>
      <c r="K35">
        <v>0.1825</v>
      </c>
      <c r="L35">
        <v>0.18</v>
      </c>
      <c r="M35">
        <v>0.31</v>
      </c>
    </row>
    <row r="36" spans="1:13" ht="14.25" customHeight="1" x14ac:dyDescent="0.35">
      <c r="A36" t="s">
        <v>61</v>
      </c>
      <c r="B36">
        <v>64</v>
      </c>
      <c r="C36">
        <v>135</v>
      </c>
      <c r="D36">
        <v>90</v>
      </c>
      <c r="E36">
        <v>186</v>
      </c>
      <c r="F36">
        <v>221</v>
      </c>
      <c r="G36">
        <v>250</v>
      </c>
      <c r="H36">
        <v>56</v>
      </c>
      <c r="I36">
        <v>1938</v>
      </c>
      <c r="J36" s="11">
        <v>0</v>
      </c>
      <c r="K36">
        <v>6.3229999999999995E-2</v>
      </c>
      <c r="L36">
        <v>0.17</v>
      </c>
      <c r="M36">
        <v>0.1</v>
      </c>
    </row>
    <row r="37" spans="1:13" ht="14.25" customHeight="1" x14ac:dyDescent="0.35">
      <c r="A37" t="s">
        <v>62</v>
      </c>
      <c r="B37">
        <v>64</v>
      </c>
      <c r="C37">
        <v>141</v>
      </c>
      <c r="D37">
        <v>123</v>
      </c>
      <c r="E37">
        <v>198</v>
      </c>
      <c r="F37">
        <v>222</v>
      </c>
      <c r="G37">
        <v>331</v>
      </c>
      <c r="H37">
        <v>75</v>
      </c>
      <c r="I37">
        <v>792</v>
      </c>
      <c r="J37" s="11">
        <v>0</v>
      </c>
      <c r="K37">
        <v>6.3229999999999995E-2</v>
      </c>
      <c r="L37">
        <v>2.87</v>
      </c>
      <c r="M37">
        <v>0.1</v>
      </c>
    </row>
    <row r="38" spans="1:13" ht="14.25" customHeight="1" x14ac:dyDescent="0.35">
      <c r="A38" t="s">
        <v>63</v>
      </c>
      <c r="B38">
        <v>64</v>
      </c>
      <c r="C38">
        <v>136</v>
      </c>
      <c r="D38">
        <v>97</v>
      </c>
      <c r="E38">
        <v>177</v>
      </c>
      <c r="F38">
        <v>201</v>
      </c>
      <c r="G38">
        <v>904</v>
      </c>
      <c r="H38">
        <v>61</v>
      </c>
      <c r="I38">
        <v>1030</v>
      </c>
      <c r="J38" s="11">
        <v>0</v>
      </c>
      <c r="K38">
        <v>6.3229999999999995E-2</v>
      </c>
      <c r="L38">
        <v>0.12</v>
      </c>
      <c r="M38">
        <v>0.1</v>
      </c>
    </row>
    <row r="39" spans="1:13" ht="14.25" customHeight="1" x14ac:dyDescent="0.35">
      <c r="A39" t="s">
        <v>64</v>
      </c>
      <c r="B39">
        <v>64</v>
      </c>
      <c r="C39">
        <v>118</v>
      </c>
      <c r="D39">
        <v>104</v>
      </c>
      <c r="E39">
        <v>163</v>
      </c>
      <c r="F39">
        <v>226</v>
      </c>
      <c r="G39">
        <v>253</v>
      </c>
      <c r="H39">
        <v>59</v>
      </c>
      <c r="I39">
        <v>298</v>
      </c>
      <c r="J39" s="11">
        <v>0</v>
      </c>
      <c r="K39">
        <v>6.3229999999999995E-2</v>
      </c>
      <c r="L39">
        <v>0.18</v>
      </c>
      <c r="M39">
        <v>0.1</v>
      </c>
    </row>
    <row r="40" spans="1:13" ht="14.25" customHeight="1" x14ac:dyDescent="0.35">
      <c r="A40" t="s">
        <v>65</v>
      </c>
      <c r="B40">
        <v>64</v>
      </c>
      <c r="C40">
        <v>3730</v>
      </c>
      <c r="D40">
        <v>2872</v>
      </c>
      <c r="E40">
        <v>6429</v>
      </c>
      <c r="F40">
        <v>7699</v>
      </c>
      <c r="G40">
        <v>9695</v>
      </c>
      <c r="H40">
        <v>1136</v>
      </c>
      <c r="I40">
        <v>10226</v>
      </c>
      <c r="J40" s="11">
        <v>0</v>
      </c>
      <c r="K40">
        <v>6.3100000000000003E-2</v>
      </c>
      <c r="L40">
        <v>39.28</v>
      </c>
      <c r="M40">
        <v>0.26</v>
      </c>
    </row>
    <row r="41" spans="1:13" ht="14.25" customHeight="1" x14ac:dyDescent="0.35">
      <c r="A41" t="s">
        <v>66</v>
      </c>
      <c r="B41">
        <v>64</v>
      </c>
      <c r="C41">
        <v>128</v>
      </c>
      <c r="D41">
        <v>115</v>
      </c>
      <c r="E41">
        <v>190</v>
      </c>
      <c r="F41">
        <v>212</v>
      </c>
      <c r="G41">
        <v>279</v>
      </c>
      <c r="H41">
        <v>59</v>
      </c>
      <c r="I41">
        <v>400</v>
      </c>
      <c r="J41" s="11">
        <v>0</v>
      </c>
      <c r="K41">
        <v>6.3170000000000004E-2</v>
      </c>
      <c r="L41">
        <v>7.0000000000000007E-2</v>
      </c>
      <c r="M41">
        <v>0.1</v>
      </c>
    </row>
    <row r="42" spans="1:13" ht="14.25" customHeight="1" x14ac:dyDescent="0.35">
      <c r="A42" t="s">
        <v>67</v>
      </c>
      <c r="B42">
        <v>64</v>
      </c>
      <c r="C42">
        <v>134</v>
      </c>
      <c r="D42">
        <v>113</v>
      </c>
      <c r="E42">
        <v>207</v>
      </c>
      <c r="F42">
        <v>219</v>
      </c>
      <c r="G42">
        <v>390</v>
      </c>
      <c r="H42">
        <v>59</v>
      </c>
      <c r="I42">
        <v>476</v>
      </c>
      <c r="J42" s="11">
        <v>0</v>
      </c>
      <c r="K42">
        <v>6.3149999999999998E-2</v>
      </c>
      <c r="L42">
        <v>0.12</v>
      </c>
      <c r="M42">
        <v>0.1</v>
      </c>
    </row>
    <row r="43" spans="1:13" ht="14.25" customHeight="1" x14ac:dyDescent="0.35">
      <c r="A43" t="s">
        <v>68</v>
      </c>
      <c r="B43">
        <v>64</v>
      </c>
      <c r="C43">
        <v>120</v>
      </c>
      <c r="D43">
        <v>84</v>
      </c>
      <c r="E43">
        <v>132</v>
      </c>
      <c r="F43">
        <v>177</v>
      </c>
      <c r="G43">
        <v>460</v>
      </c>
      <c r="H43">
        <v>53</v>
      </c>
      <c r="I43">
        <v>1740</v>
      </c>
      <c r="J43" s="11">
        <v>0</v>
      </c>
      <c r="K43">
        <v>6.3149999999999998E-2</v>
      </c>
      <c r="L43">
        <v>7.0000000000000007E-2</v>
      </c>
      <c r="M43">
        <v>0.1</v>
      </c>
    </row>
    <row r="44" spans="1:13" ht="14.25" customHeight="1" x14ac:dyDescent="0.35">
      <c r="A44" t="s">
        <v>69</v>
      </c>
      <c r="B44">
        <v>64</v>
      </c>
      <c r="C44">
        <v>153</v>
      </c>
      <c r="D44">
        <v>127</v>
      </c>
      <c r="E44">
        <v>237</v>
      </c>
      <c r="F44">
        <v>339</v>
      </c>
      <c r="G44">
        <v>403</v>
      </c>
      <c r="H44">
        <v>66</v>
      </c>
      <c r="I44">
        <v>416</v>
      </c>
      <c r="J44" s="11">
        <v>0</v>
      </c>
      <c r="K44">
        <v>6.3149999999999998E-2</v>
      </c>
      <c r="L44">
        <v>7.0000000000000007E-2</v>
      </c>
      <c r="M44">
        <v>0.12</v>
      </c>
    </row>
    <row r="45" spans="1:13" ht="14.25" customHeight="1" x14ac:dyDescent="0.35">
      <c r="A45" t="s">
        <v>70</v>
      </c>
      <c r="B45">
        <v>63</v>
      </c>
      <c r="C45">
        <v>132</v>
      </c>
      <c r="D45">
        <v>125</v>
      </c>
      <c r="E45">
        <v>180</v>
      </c>
      <c r="F45">
        <v>223</v>
      </c>
      <c r="G45">
        <v>254</v>
      </c>
      <c r="H45">
        <v>68</v>
      </c>
      <c r="I45">
        <v>361</v>
      </c>
      <c r="J45" s="11">
        <v>0</v>
      </c>
      <c r="K45">
        <v>6.2469999999999998E-2</v>
      </c>
      <c r="L45">
        <v>7.0000000000000007E-2</v>
      </c>
      <c r="M45">
        <v>0.11</v>
      </c>
    </row>
    <row r="46" spans="1:13" ht="14.25" customHeight="1" x14ac:dyDescent="0.35">
      <c r="A46" t="s">
        <v>71</v>
      </c>
      <c r="B46">
        <v>63</v>
      </c>
      <c r="C46">
        <v>126</v>
      </c>
      <c r="D46">
        <v>103</v>
      </c>
      <c r="E46">
        <v>206</v>
      </c>
      <c r="F46">
        <v>217</v>
      </c>
      <c r="G46">
        <v>308</v>
      </c>
      <c r="H46">
        <v>62</v>
      </c>
      <c r="I46">
        <v>431</v>
      </c>
      <c r="J46" s="11">
        <v>0</v>
      </c>
      <c r="K46">
        <v>6.2460000000000002E-2</v>
      </c>
      <c r="L46">
        <v>0.08</v>
      </c>
      <c r="M46">
        <v>0.1</v>
      </c>
    </row>
    <row r="47" spans="1:13" ht="14.25" customHeight="1" x14ac:dyDescent="0.35">
      <c r="A47" t="s">
        <v>72</v>
      </c>
      <c r="B47">
        <v>63</v>
      </c>
      <c r="C47">
        <v>89</v>
      </c>
      <c r="D47">
        <v>78</v>
      </c>
      <c r="E47">
        <v>120</v>
      </c>
      <c r="F47">
        <v>140</v>
      </c>
      <c r="G47">
        <v>239</v>
      </c>
      <c r="H47">
        <v>55</v>
      </c>
      <c r="I47">
        <v>281</v>
      </c>
      <c r="J47" s="11">
        <v>0</v>
      </c>
      <c r="K47">
        <v>6.2449999999999999E-2</v>
      </c>
      <c r="L47">
        <v>7.0000000000000007E-2</v>
      </c>
      <c r="M47">
        <v>0.1</v>
      </c>
    </row>
    <row r="48" spans="1:13" ht="14.25" customHeight="1" x14ac:dyDescent="0.35">
      <c r="A48" t="s">
        <v>73</v>
      </c>
      <c r="B48">
        <v>63</v>
      </c>
      <c r="C48">
        <v>788</v>
      </c>
      <c r="D48">
        <v>761</v>
      </c>
      <c r="E48">
        <v>959</v>
      </c>
      <c r="F48">
        <v>1007</v>
      </c>
      <c r="G48">
        <v>1377</v>
      </c>
      <c r="H48">
        <v>570</v>
      </c>
      <c r="I48">
        <v>1439</v>
      </c>
      <c r="J48" s="11">
        <v>0</v>
      </c>
      <c r="K48">
        <v>6.241E-2</v>
      </c>
      <c r="L48">
        <v>13.12</v>
      </c>
      <c r="M48">
        <v>0.59</v>
      </c>
    </row>
    <row r="49" spans="1:13" ht="14.25" customHeight="1" x14ac:dyDescent="0.35">
      <c r="A49" t="s">
        <v>74</v>
      </c>
      <c r="B49">
        <v>63</v>
      </c>
      <c r="C49">
        <v>135</v>
      </c>
      <c r="D49">
        <v>128</v>
      </c>
      <c r="E49">
        <v>197</v>
      </c>
      <c r="F49">
        <v>233</v>
      </c>
      <c r="G49">
        <v>239</v>
      </c>
      <c r="H49">
        <v>67</v>
      </c>
      <c r="I49">
        <v>242</v>
      </c>
      <c r="J49" s="11">
        <v>0</v>
      </c>
      <c r="K49">
        <v>6.2429999999999999E-2</v>
      </c>
      <c r="L49">
        <v>7.0000000000000007E-2</v>
      </c>
      <c r="M49">
        <v>0.11</v>
      </c>
    </row>
    <row r="50" spans="1:13" ht="14.25" customHeight="1" x14ac:dyDescent="0.35">
      <c r="A50" t="s">
        <v>75</v>
      </c>
      <c r="B50">
        <v>63</v>
      </c>
      <c r="C50">
        <v>176</v>
      </c>
      <c r="D50">
        <v>130</v>
      </c>
      <c r="E50">
        <v>223</v>
      </c>
      <c r="F50">
        <v>301</v>
      </c>
      <c r="G50">
        <v>391</v>
      </c>
      <c r="H50">
        <v>72</v>
      </c>
      <c r="I50">
        <v>2036</v>
      </c>
      <c r="J50" s="11">
        <v>0</v>
      </c>
      <c r="K50">
        <v>6.2429999999999999E-2</v>
      </c>
      <c r="L50">
        <v>0.19</v>
      </c>
      <c r="M50">
        <v>0.11</v>
      </c>
    </row>
    <row r="51" spans="1:13" ht="14.25" customHeight="1" x14ac:dyDescent="0.35">
      <c r="A51" t="s">
        <v>76</v>
      </c>
      <c r="B51">
        <v>63</v>
      </c>
      <c r="C51">
        <v>142</v>
      </c>
      <c r="D51">
        <v>124</v>
      </c>
      <c r="E51">
        <v>230</v>
      </c>
      <c r="F51">
        <v>271</v>
      </c>
      <c r="G51">
        <v>333</v>
      </c>
      <c r="H51">
        <v>64</v>
      </c>
      <c r="I51">
        <v>404</v>
      </c>
      <c r="J51" s="11">
        <v>0</v>
      </c>
      <c r="K51">
        <v>6.2420000000000003E-2</v>
      </c>
      <c r="L51">
        <v>7.0000000000000007E-2</v>
      </c>
      <c r="M51">
        <v>0.11</v>
      </c>
    </row>
    <row r="52" spans="1:13" ht="14.25" customHeight="1" x14ac:dyDescent="0.35">
      <c r="A52" t="s">
        <v>77</v>
      </c>
      <c r="B52">
        <v>63</v>
      </c>
      <c r="C52">
        <v>961</v>
      </c>
      <c r="D52">
        <v>932</v>
      </c>
      <c r="E52">
        <v>1109</v>
      </c>
      <c r="F52">
        <v>1139</v>
      </c>
      <c r="G52">
        <v>1186</v>
      </c>
      <c r="H52">
        <v>854</v>
      </c>
      <c r="I52">
        <v>1289</v>
      </c>
      <c r="J52" s="11">
        <v>0</v>
      </c>
      <c r="K52">
        <v>6.2359999999999999E-2</v>
      </c>
      <c r="L52">
        <v>0.06</v>
      </c>
      <c r="M52">
        <v>0.1</v>
      </c>
    </row>
    <row r="53" spans="1:13" ht="14.25" customHeight="1" x14ac:dyDescent="0.35">
      <c r="A53" t="s">
        <v>78</v>
      </c>
      <c r="B53">
        <v>63</v>
      </c>
      <c r="C53">
        <v>2087</v>
      </c>
      <c r="D53">
        <v>1951</v>
      </c>
      <c r="E53">
        <v>2657</v>
      </c>
      <c r="F53">
        <v>2942</v>
      </c>
      <c r="G53">
        <v>3498</v>
      </c>
      <c r="H53">
        <v>1604</v>
      </c>
      <c r="I53">
        <v>3676</v>
      </c>
      <c r="J53" s="11">
        <v>0</v>
      </c>
      <c r="K53">
        <v>6.2289999999999998E-2</v>
      </c>
      <c r="L53">
        <v>0.67</v>
      </c>
      <c r="M53">
        <v>0.1</v>
      </c>
    </row>
    <row r="54" spans="1:13" ht="14.25" customHeight="1" x14ac:dyDescent="0.35">
      <c r="A54" t="s">
        <v>79</v>
      </c>
      <c r="B54">
        <v>62</v>
      </c>
      <c r="C54">
        <v>4290</v>
      </c>
      <c r="D54">
        <v>4205</v>
      </c>
      <c r="E54">
        <v>4704</v>
      </c>
      <c r="F54">
        <v>4834</v>
      </c>
      <c r="G54">
        <v>4855</v>
      </c>
      <c r="H54">
        <v>3844</v>
      </c>
      <c r="I54">
        <v>6418</v>
      </c>
      <c r="J54" s="11">
        <v>0</v>
      </c>
      <c r="K54">
        <v>6.2820000000000001E-2</v>
      </c>
      <c r="L54">
        <v>0.16</v>
      </c>
      <c r="M54">
        <v>0.76</v>
      </c>
    </row>
    <row r="55" spans="1:13" ht="14.25" customHeight="1" x14ac:dyDescent="0.35">
      <c r="A55" t="s">
        <v>80</v>
      </c>
      <c r="B55">
        <v>62</v>
      </c>
      <c r="C55">
        <v>204</v>
      </c>
      <c r="D55">
        <v>166</v>
      </c>
      <c r="E55">
        <v>316</v>
      </c>
      <c r="F55">
        <v>389</v>
      </c>
      <c r="G55">
        <v>571</v>
      </c>
      <c r="H55">
        <v>97</v>
      </c>
      <c r="I55">
        <v>782</v>
      </c>
      <c r="J55" s="11">
        <v>0</v>
      </c>
      <c r="K55">
        <v>6.3070000000000001E-2</v>
      </c>
      <c r="L55">
        <v>0.16</v>
      </c>
      <c r="M55">
        <v>0.23</v>
      </c>
    </row>
    <row r="56" spans="1:13" ht="14.25" customHeight="1" x14ac:dyDescent="0.35">
      <c r="A56" t="s">
        <v>81</v>
      </c>
      <c r="B56">
        <v>62</v>
      </c>
      <c r="C56">
        <v>1113</v>
      </c>
      <c r="D56">
        <v>734</v>
      </c>
      <c r="E56">
        <v>2115</v>
      </c>
      <c r="F56">
        <v>2646</v>
      </c>
      <c r="G56">
        <v>3703</v>
      </c>
      <c r="H56">
        <v>160</v>
      </c>
      <c r="I56">
        <v>4834</v>
      </c>
      <c r="J56" s="11">
        <v>0</v>
      </c>
      <c r="K56">
        <v>6.2960000000000002E-2</v>
      </c>
      <c r="L56">
        <v>0.16</v>
      </c>
      <c r="M56">
        <v>0.12</v>
      </c>
    </row>
    <row r="57" spans="1:13" ht="14.25" customHeight="1" x14ac:dyDescent="0.35">
      <c r="A57" t="s">
        <v>82</v>
      </c>
      <c r="B57">
        <v>62</v>
      </c>
      <c r="C57">
        <v>597</v>
      </c>
      <c r="D57">
        <v>582</v>
      </c>
      <c r="E57">
        <v>712</v>
      </c>
      <c r="F57">
        <v>739</v>
      </c>
      <c r="G57">
        <v>776</v>
      </c>
      <c r="H57">
        <v>478</v>
      </c>
      <c r="I57">
        <v>900</v>
      </c>
      <c r="J57" s="11">
        <v>0</v>
      </c>
      <c r="K57">
        <v>6.2920000000000004E-2</v>
      </c>
      <c r="L57">
        <v>7.0000000000000007E-2</v>
      </c>
      <c r="M57">
        <v>0.1</v>
      </c>
    </row>
    <row r="58" spans="1:13" ht="14.25" customHeight="1" x14ac:dyDescent="0.35">
      <c r="A58" t="s">
        <v>83</v>
      </c>
      <c r="B58">
        <v>62</v>
      </c>
      <c r="C58">
        <v>545</v>
      </c>
      <c r="D58">
        <v>497</v>
      </c>
      <c r="E58">
        <v>619</v>
      </c>
      <c r="F58">
        <v>717</v>
      </c>
      <c r="G58">
        <v>909</v>
      </c>
      <c r="H58">
        <v>415</v>
      </c>
      <c r="I58">
        <v>2192</v>
      </c>
      <c r="J58" s="11">
        <v>0</v>
      </c>
      <c r="K58">
        <v>6.293E-2</v>
      </c>
      <c r="L58">
        <v>0.93</v>
      </c>
      <c r="M58">
        <v>0.1</v>
      </c>
    </row>
    <row r="59" spans="1:13" ht="14.25" customHeight="1" x14ac:dyDescent="0.35">
      <c r="A59" t="s">
        <v>84</v>
      </c>
      <c r="B59">
        <v>62</v>
      </c>
      <c r="C59">
        <v>140</v>
      </c>
      <c r="D59">
        <v>96</v>
      </c>
      <c r="E59">
        <v>139</v>
      </c>
      <c r="F59">
        <v>151</v>
      </c>
      <c r="G59">
        <v>483</v>
      </c>
      <c r="H59">
        <v>61</v>
      </c>
      <c r="I59">
        <v>2346</v>
      </c>
      <c r="J59" s="11">
        <v>0</v>
      </c>
      <c r="K59">
        <v>6.2950000000000006E-2</v>
      </c>
      <c r="L59">
        <v>0.19</v>
      </c>
      <c r="M59">
        <v>0.1</v>
      </c>
    </row>
    <row r="60" spans="1:13" ht="14.25" customHeight="1" x14ac:dyDescent="0.35">
      <c r="A60" t="s">
        <v>85</v>
      </c>
      <c r="B60">
        <v>62</v>
      </c>
      <c r="C60">
        <v>622</v>
      </c>
      <c r="D60">
        <v>562</v>
      </c>
      <c r="E60">
        <v>784</v>
      </c>
      <c r="F60">
        <v>885</v>
      </c>
      <c r="G60">
        <v>988</v>
      </c>
      <c r="H60">
        <v>469</v>
      </c>
      <c r="I60">
        <v>1057</v>
      </c>
      <c r="J60" s="11">
        <v>0</v>
      </c>
      <c r="K60">
        <v>6.2909999999999994E-2</v>
      </c>
      <c r="L60">
        <v>6.81</v>
      </c>
      <c r="M60">
        <v>0.11</v>
      </c>
    </row>
    <row r="61" spans="1:13" ht="14.25" customHeight="1" x14ac:dyDescent="0.35">
      <c r="A61" t="s">
        <v>87</v>
      </c>
      <c r="B61">
        <v>247</v>
      </c>
      <c r="C61">
        <v>543</v>
      </c>
      <c r="D61">
        <v>484</v>
      </c>
      <c r="E61">
        <v>742</v>
      </c>
      <c r="F61">
        <v>892</v>
      </c>
      <c r="G61">
        <v>1771</v>
      </c>
      <c r="H61">
        <v>270</v>
      </c>
      <c r="I61">
        <v>3032</v>
      </c>
      <c r="J61" s="11">
        <v>0</v>
      </c>
      <c r="K61">
        <v>0.24098</v>
      </c>
      <c r="L61">
        <v>205.15</v>
      </c>
      <c r="M61">
        <v>0.67</v>
      </c>
    </row>
    <row r="62" spans="1:13" ht="14.25" customHeight="1" x14ac:dyDescent="0.35">
      <c r="A62" t="s">
        <v>88</v>
      </c>
      <c r="B62">
        <v>247</v>
      </c>
      <c r="C62">
        <v>94</v>
      </c>
      <c r="D62">
        <v>76</v>
      </c>
      <c r="E62">
        <v>117</v>
      </c>
      <c r="F62">
        <v>165</v>
      </c>
      <c r="G62">
        <v>263</v>
      </c>
      <c r="H62">
        <v>52</v>
      </c>
      <c r="I62">
        <v>2439</v>
      </c>
      <c r="J62" s="11">
        <v>0</v>
      </c>
      <c r="K62">
        <v>0.24163999999999999</v>
      </c>
      <c r="L62">
        <v>0.28999999999999998</v>
      </c>
      <c r="M62">
        <v>0.39</v>
      </c>
    </row>
    <row r="63" spans="1:13" ht="14.25" customHeight="1" x14ac:dyDescent="0.35">
      <c r="A63" t="s">
        <v>89</v>
      </c>
      <c r="B63">
        <v>247</v>
      </c>
      <c r="C63">
        <v>262</v>
      </c>
      <c r="D63">
        <v>224</v>
      </c>
      <c r="E63">
        <v>393</v>
      </c>
      <c r="F63">
        <v>443</v>
      </c>
      <c r="G63">
        <v>799</v>
      </c>
      <c r="H63">
        <v>115</v>
      </c>
      <c r="I63">
        <v>1898</v>
      </c>
      <c r="J63" s="11">
        <v>0</v>
      </c>
      <c r="K63">
        <v>0.24166000000000001</v>
      </c>
      <c r="L63">
        <v>0.9</v>
      </c>
      <c r="M63">
        <v>0.41</v>
      </c>
    </row>
    <row r="64" spans="1:13" ht="14.25" customHeight="1" x14ac:dyDescent="0.35">
      <c r="A64" t="s">
        <v>90</v>
      </c>
      <c r="B64">
        <v>247</v>
      </c>
      <c r="C64">
        <v>101</v>
      </c>
      <c r="D64">
        <v>77</v>
      </c>
      <c r="E64">
        <v>123</v>
      </c>
      <c r="F64">
        <v>160</v>
      </c>
      <c r="G64">
        <v>727</v>
      </c>
      <c r="H64">
        <v>52</v>
      </c>
      <c r="I64">
        <v>2061</v>
      </c>
      <c r="J64" s="11">
        <v>0</v>
      </c>
      <c r="K64">
        <v>0.24168000000000001</v>
      </c>
      <c r="L64">
        <v>0.45</v>
      </c>
      <c r="M64">
        <v>0.42</v>
      </c>
    </row>
    <row r="65" spans="1:13" ht="14.25" customHeight="1" x14ac:dyDescent="0.35">
      <c r="A65" t="s">
        <v>91</v>
      </c>
      <c r="B65">
        <v>247</v>
      </c>
      <c r="C65">
        <v>196</v>
      </c>
      <c r="D65">
        <v>168</v>
      </c>
      <c r="E65">
        <v>296</v>
      </c>
      <c r="F65">
        <v>362</v>
      </c>
      <c r="G65">
        <v>473</v>
      </c>
      <c r="H65">
        <v>116</v>
      </c>
      <c r="I65">
        <v>963</v>
      </c>
      <c r="J65" s="11">
        <v>0</v>
      </c>
      <c r="K65">
        <v>0.24177999999999999</v>
      </c>
      <c r="L65">
        <v>0.32</v>
      </c>
      <c r="M65">
        <v>0.42</v>
      </c>
    </row>
    <row r="66" spans="1:13" ht="14.25" customHeight="1" x14ac:dyDescent="0.35">
      <c r="A66" t="s">
        <v>92</v>
      </c>
      <c r="B66">
        <v>247</v>
      </c>
      <c r="C66">
        <v>103</v>
      </c>
      <c r="D66">
        <v>82</v>
      </c>
      <c r="E66">
        <v>119</v>
      </c>
      <c r="F66">
        <v>147</v>
      </c>
      <c r="G66">
        <v>531</v>
      </c>
      <c r="H66">
        <v>54</v>
      </c>
      <c r="I66">
        <v>2536</v>
      </c>
      <c r="J66" s="11">
        <v>0.26316000000000001</v>
      </c>
      <c r="K66">
        <v>0.24179999999999999</v>
      </c>
      <c r="L66">
        <v>0.25</v>
      </c>
      <c r="M66">
        <v>0.41</v>
      </c>
    </row>
    <row r="67" spans="1:13" ht="14.25" customHeight="1" x14ac:dyDescent="0.35">
      <c r="A67" t="s">
        <v>93</v>
      </c>
      <c r="B67">
        <v>247</v>
      </c>
      <c r="C67">
        <v>130</v>
      </c>
      <c r="D67">
        <v>96</v>
      </c>
      <c r="E67">
        <v>209</v>
      </c>
      <c r="F67">
        <v>333</v>
      </c>
      <c r="G67">
        <v>578</v>
      </c>
      <c r="H67">
        <v>56</v>
      </c>
      <c r="I67">
        <v>953</v>
      </c>
      <c r="J67" s="11">
        <v>0</v>
      </c>
      <c r="K67">
        <v>0.24179</v>
      </c>
      <c r="L67">
        <v>0.25</v>
      </c>
      <c r="M67">
        <v>0.42</v>
      </c>
    </row>
    <row r="68" spans="1:13" ht="14.25" customHeight="1" x14ac:dyDescent="0.35">
      <c r="A68" t="s">
        <v>94</v>
      </c>
      <c r="B68">
        <v>247</v>
      </c>
      <c r="C68">
        <v>996</v>
      </c>
      <c r="D68">
        <v>910</v>
      </c>
      <c r="E68">
        <v>1351</v>
      </c>
      <c r="F68">
        <v>1514</v>
      </c>
      <c r="G68">
        <v>2846</v>
      </c>
      <c r="H68">
        <v>647</v>
      </c>
      <c r="I68">
        <v>3426</v>
      </c>
      <c r="J68" s="11">
        <v>0</v>
      </c>
      <c r="K68">
        <v>0.24160000000000001</v>
      </c>
      <c r="L68">
        <v>66.59</v>
      </c>
      <c r="M68">
        <v>0.41</v>
      </c>
    </row>
    <row r="69" spans="1:13" ht="14.25" customHeight="1" x14ac:dyDescent="0.35">
      <c r="A69" t="s">
        <v>95</v>
      </c>
      <c r="B69">
        <v>247</v>
      </c>
      <c r="C69">
        <v>97</v>
      </c>
      <c r="D69">
        <v>86</v>
      </c>
      <c r="E69">
        <v>131</v>
      </c>
      <c r="F69">
        <v>165</v>
      </c>
      <c r="G69">
        <v>267</v>
      </c>
      <c r="H69">
        <v>59</v>
      </c>
      <c r="I69">
        <v>604</v>
      </c>
      <c r="J69" s="11">
        <v>0</v>
      </c>
      <c r="K69">
        <v>0.24231</v>
      </c>
      <c r="L69">
        <v>0.26</v>
      </c>
      <c r="M69">
        <v>0.6</v>
      </c>
    </row>
    <row r="70" spans="1:13" ht="14.25" customHeight="1" x14ac:dyDescent="0.35">
      <c r="A70" t="s">
        <v>96</v>
      </c>
      <c r="B70">
        <v>247</v>
      </c>
      <c r="C70">
        <v>119</v>
      </c>
      <c r="D70">
        <v>94</v>
      </c>
      <c r="E70">
        <v>153</v>
      </c>
      <c r="F70">
        <v>194</v>
      </c>
      <c r="G70">
        <v>495</v>
      </c>
      <c r="H70">
        <v>64</v>
      </c>
      <c r="I70">
        <v>2678</v>
      </c>
      <c r="J70" s="11">
        <v>0</v>
      </c>
      <c r="K70">
        <v>0.24229999999999999</v>
      </c>
      <c r="L70">
        <v>8.8800000000000008</v>
      </c>
      <c r="M70">
        <v>0.41</v>
      </c>
    </row>
    <row r="71" spans="1:13" ht="14.25" customHeight="1" x14ac:dyDescent="0.35">
      <c r="A71" t="s">
        <v>97</v>
      </c>
      <c r="B71">
        <v>246</v>
      </c>
      <c r="C71">
        <v>169</v>
      </c>
      <c r="D71">
        <v>142</v>
      </c>
      <c r="E71">
        <v>209</v>
      </c>
      <c r="F71">
        <v>284</v>
      </c>
      <c r="G71">
        <v>480</v>
      </c>
      <c r="H71">
        <v>100</v>
      </c>
      <c r="I71">
        <v>1990</v>
      </c>
      <c r="J71" s="11">
        <v>0</v>
      </c>
      <c r="K71">
        <v>0.2429</v>
      </c>
      <c r="L71">
        <v>0.28999999999999998</v>
      </c>
      <c r="M71">
        <v>9.1</v>
      </c>
    </row>
  </sheetData>
  <conditionalFormatting sqref="A1:M70 A72:M486">
    <cfRule type="expression" dxfId="5" priority="1">
      <formula>$A2&lt;&gt;""</formula>
    </cfRule>
  </conditionalFormatting>
  <conditionalFormatting sqref="A71:M71">
    <cfRule type="expression" dxfId="4" priority="6">
      <formula>#REF!&lt;&gt;""</formula>
    </cfRule>
  </conditionalFormatting>
  <pageMargins left="0.75" right="0.75" top="1" bottom="1" header="0" footer="0"/>
  <pageSetup orientation="landscape"/>
  <headerFooter>
    <oddFooter>&amp;C_x000D_&amp;1#&amp;"Aptos"&amp;10&amp;K000000 Air India General -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50"/>
  <sheetViews>
    <sheetView workbookViewId="0">
      <pane ySplit="1" topLeftCell="A5" activePane="bottomLeft" state="frozen"/>
      <selection pane="bottomLeft" activeCell="R15" sqref="R15"/>
    </sheetView>
  </sheetViews>
  <sheetFormatPr defaultColWidth="14.453125" defaultRowHeight="15" customHeight="1" x14ac:dyDescent="0.35"/>
  <cols>
    <col min="1" max="1" width="48.6328125" customWidth="1"/>
    <col min="2" max="2" width="11.1796875" style="22" customWidth="1"/>
    <col min="3" max="3" width="11.08984375" style="21" customWidth="1"/>
    <col min="4" max="4" width="10.6328125" style="21" customWidth="1"/>
    <col min="5" max="5" width="11.08984375" style="21" customWidth="1"/>
    <col min="6" max="6" width="12.6328125" style="21" customWidth="1"/>
    <col min="7" max="7" width="13.7265625" style="21" customWidth="1"/>
    <col min="8" max="8" width="12.90625" style="21" customWidth="1"/>
    <col min="9" max="9" width="10.7265625" style="24" customWidth="1"/>
    <col min="10" max="10" width="10.08984375" style="24" customWidth="1"/>
    <col min="11" max="15" width="8.7265625" customWidth="1"/>
  </cols>
  <sheetData>
    <row r="1" spans="1:10" ht="27.75" customHeight="1" x14ac:dyDescent="0.35">
      <c r="A1" s="3" t="s">
        <v>0</v>
      </c>
      <c r="B1" s="3" t="s">
        <v>1</v>
      </c>
      <c r="C1" s="15" t="s">
        <v>21</v>
      </c>
      <c r="D1" s="15" t="s">
        <v>22</v>
      </c>
      <c r="E1" s="15" t="s">
        <v>23</v>
      </c>
      <c r="F1" s="15" t="s">
        <v>24</v>
      </c>
      <c r="G1" s="15" t="s">
        <v>25</v>
      </c>
      <c r="H1" s="15" t="s">
        <v>26</v>
      </c>
      <c r="I1" s="3" t="s">
        <v>13</v>
      </c>
      <c r="J1" s="3" t="s">
        <v>14</v>
      </c>
    </row>
    <row r="2" spans="1:10" ht="14.25" customHeight="1" x14ac:dyDescent="0.35">
      <c r="A2" s="4" t="str">
        <f>'Aggregate Report'!A2</f>
        <v>01-getControlBoard</v>
      </c>
      <c r="B2" s="16">
        <f>_xlfn.XLOOKUP($A2,'Aggregate Report'!$A:$A,'Aggregate Report'!$B:$B)</f>
        <v>993</v>
      </c>
      <c r="C2" s="17">
        <f>_xlfn.XLOOKUP($A2,'Aggregate Report'!$A:$A,'Aggregate Report'!$H:$H)/1000</f>
        <v>6.2649999999999997</v>
      </c>
      <c r="D2" s="17">
        <f>_xlfn.XLOOKUP($A2,'Aggregate Report'!$A:$A,'Aggregate Report'!$C:$C)/1000</f>
        <v>18.721</v>
      </c>
      <c r="E2" s="17">
        <f>_xlfn.XLOOKUP($A2,'Aggregate Report'!$A:$A,'Aggregate Report'!$I:$I)/1000</f>
        <v>22.545999999999999</v>
      </c>
      <c r="F2" s="17">
        <f>_xlfn.XLOOKUP($A2,'Aggregate Report'!$A:$A,'Aggregate Report'!$E:$E)/1000</f>
        <v>20.273</v>
      </c>
      <c r="G2" s="17">
        <f>_xlfn.XLOOKUP($A2,'Aggregate Report'!$A:$A,'Aggregate Report'!$F:$F)/1000</f>
        <v>20.379000000000001</v>
      </c>
      <c r="H2" s="17">
        <f>_xlfn.XLOOKUP($A2,'Aggregate Report'!$A:$A,'Aggregate Report'!$G:$G)/1000</f>
        <v>21.443000000000001</v>
      </c>
      <c r="I2" s="25">
        <f t="shared" ref="I2:I14" si="0">B2-J2</f>
        <v>205.99784999999997</v>
      </c>
      <c r="J2" s="26">
        <f>'Aggregate Report'!J2 * B2</f>
        <v>787.00215000000003</v>
      </c>
    </row>
    <row r="3" spans="1:10" ht="14.25" customHeight="1" x14ac:dyDescent="0.35">
      <c r="A3" s="4" t="str">
        <f>'Aggregate Report'!A3</f>
        <v>02-getOfficerDetails</v>
      </c>
      <c r="B3" s="16">
        <f>_xlfn.XLOOKUP($A3,'Aggregate Report'!$A:$A,'Aggregate Report'!$B:$B)</f>
        <v>974</v>
      </c>
      <c r="C3" s="17">
        <f>_xlfn.XLOOKUP($A3,'Aggregate Report'!$A:$A,'Aggregate Report'!$H:$H)/1000</f>
        <v>0.128</v>
      </c>
      <c r="D3" s="17">
        <f>_xlfn.XLOOKUP($A3,'Aggregate Report'!$A:$A,'Aggregate Report'!$C:$C)/1000</f>
        <v>0.38600000000000001</v>
      </c>
      <c r="E3" s="17">
        <f>_xlfn.XLOOKUP($A3,'Aggregate Report'!$A:$A,'Aggregate Report'!$I:$I)/1000</f>
        <v>15.945</v>
      </c>
      <c r="F3" s="17">
        <f>_xlfn.XLOOKUP($A3,'Aggregate Report'!$A:$A,'Aggregate Report'!$E:$E)/1000</f>
        <v>0.72099999999999997</v>
      </c>
      <c r="G3" s="17">
        <f>_xlfn.XLOOKUP($A3,'Aggregate Report'!$A:$A,'Aggregate Report'!$F:$F)/1000</f>
        <v>1.2110000000000001</v>
      </c>
      <c r="H3" s="17">
        <f>_xlfn.XLOOKUP($A3,'Aggregate Report'!$A:$A,'Aggregate Report'!$G:$G)/1000</f>
        <v>1.9430000000000001</v>
      </c>
      <c r="I3" s="25">
        <f t="shared" si="0"/>
        <v>974</v>
      </c>
      <c r="J3" s="26">
        <f>'Aggregate Report'!J3 * B3</f>
        <v>0</v>
      </c>
    </row>
    <row r="4" spans="1:10" ht="14.25" customHeight="1" x14ac:dyDescent="0.35">
      <c r="A4" s="4" t="str">
        <f>'Aggregate Report'!A4</f>
        <v>03-getCBNotificationsAndOTP</v>
      </c>
      <c r="B4" s="16">
        <f>_xlfn.XLOOKUP($A4,'Aggregate Report'!$A:$A,'Aggregate Report'!$B:$B)</f>
        <v>972</v>
      </c>
      <c r="C4" s="17">
        <f>_xlfn.XLOOKUP($A4,'Aggregate Report'!$A:$A,'Aggregate Report'!$H:$H)/1000</f>
        <v>0.186</v>
      </c>
      <c r="D4" s="17">
        <f>_xlfn.XLOOKUP($A4,'Aggregate Report'!$A:$A,'Aggregate Report'!$C:$C)/1000</f>
        <v>2.2360000000000002</v>
      </c>
      <c r="E4" s="17">
        <f>_xlfn.XLOOKUP($A4,'Aggregate Report'!$A:$A,'Aggregate Report'!$I:$I)/1000</f>
        <v>8.4659999999999993</v>
      </c>
      <c r="F4" s="17">
        <f>_xlfn.XLOOKUP($A4,'Aggregate Report'!$A:$A,'Aggregate Report'!$E:$E)/1000</f>
        <v>4.5679999999999996</v>
      </c>
      <c r="G4" s="17">
        <f>_xlfn.XLOOKUP($A4,'Aggregate Report'!$A:$A,'Aggregate Report'!$F:$F)/1000</f>
        <v>5.47</v>
      </c>
      <c r="H4" s="17">
        <f>_xlfn.XLOOKUP($A4,'Aggregate Report'!$A:$A,'Aggregate Report'!$G:$G)/1000</f>
        <v>6.944</v>
      </c>
      <c r="I4" s="25">
        <f t="shared" si="0"/>
        <v>972</v>
      </c>
      <c r="J4" s="26">
        <f>'Aggregate Report'!J4 * B4</f>
        <v>0</v>
      </c>
    </row>
    <row r="5" spans="1:10" ht="14.25" customHeight="1" x14ac:dyDescent="0.35">
      <c r="A5" s="4" t="str">
        <f>'Aggregate Report'!A5</f>
        <v>04-getCBStationData</v>
      </c>
      <c r="B5" s="16">
        <f>_xlfn.XLOOKUP($A5,'Aggregate Report'!$A:$A,'Aggregate Report'!$B:$B)</f>
        <v>971</v>
      </c>
      <c r="C5" s="17">
        <f>_xlfn.XLOOKUP($A5,'Aggregate Report'!$A:$A,'Aggregate Report'!$H:$H)/1000</f>
        <v>0.14399999999999999</v>
      </c>
      <c r="D5" s="17">
        <f>_xlfn.XLOOKUP($A5,'Aggregate Report'!$A:$A,'Aggregate Report'!$C:$C)/1000</f>
        <v>0.64800000000000002</v>
      </c>
      <c r="E5" s="17">
        <f>_xlfn.XLOOKUP($A5,'Aggregate Report'!$A:$A,'Aggregate Report'!$I:$I)/1000</f>
        <v>3.3260000000000001</v>
      </c>
      <c r="F5" s="17">
        <f>_xlfn.XLOOKUP($A5,'Aggregate Report'!$A:$A,'Aggregate Report'!$E:$E)/1000</f>
        <v>1.296</v>
      </c>
      <c r="G5" s="17">
        <f>_xlfn.XLOOKUP($A5,'Aggregate Report'!$A:$A,'Aggregate Report'!$F:$F)/1000</f>
        <v>1.5169999999999999</v>
      </c>
      <c r="H5" s="17">
        <f>_xlfn.XLOOKUP($A5,'Aggregate Report'!$A:$A,'Aggregate Report'!$G:$G)/1000</f>
        <v>2.0960000000000001</v>
      </c>
      <c r="I5" s="25">
        <f t="shared" si="0"/>
        <v>971</v>
      </c>
      <c r="J5" s="26">
        <f>'Aggregate Report'!J5 * B5</f>
        <v>0</v>
      </c>
    </row>
    <row r="6" spans="1:10" ht="14.25" customHeight="1" x14ac:dyDescent="0.35">
      <c r="A6" s="4" t="str">
        <f>'Aggregate Report'!A6</f>
        <v>05-getCFGCrewDetails</v>
      </c>
      <c r="B6" s="16">
        <f>_xlfn.XLOOKUP($A6,'Aggregate Report'!$A:$A,'Aggregate Report'!$B:$B)</f>
        <v>971</v>
      </c>
      <c r="C6" s="17">
        <f>_xlfn.XLOOKUP($A6,'Aggregate Report'!$A:$A,'Aggregate Report'!$H:$H)/1000</f>
        <v>6.7000000000000004E-2</v>
      </c>
      <c r="D6" s="17">
        <f>_xlfn.XLOOKUP($A6,'Aggregate Report'!$A:$A,'Aggregate Report'!$C:$C)/1000</f>
        <v>0.65</v>
      </c>
      <c r="E6" s="17">
        <f>_xlfn.XLOOKUP($A6,'Aggregate Report'!$A:$A,'Aggregate Report'!$I:$I)/1000</f>
        <v>20.068000000000001</v>
      </c>
      <c r="F6" s="17">
        <f>_xlfn.XLOOKUP($A6,'Aggregate Report'!$A:$A,'Aggregate Report'!$E:$E)/1000</f>
        <v>1.5740000000000001</v>
      </c>
      <c r="G6" s="17">
        <f>_xlfn.XLOOKUP($A6,'Aggregate Report'!$A:$A,'Aggregate Report'!$F:$F)/1000</f>
        <v>2.9350000000000001</v>
      </c>
      <c r="H6" s="17">
        <f>_xlfn.XLOOKUP($A6,'Aggregate Report'!$A:$A,'Aggregate Report'!$G:$G)/1000</f>
        <v>7.734</v>
      </c>
      <c r="I6" s="25">
        <f t="shared" si="0"/>
        <v>969.99986999999999</v>
      </c>
      <c r="J6" s="26">
        <f>'Aggregate Report'!J6 * B6</f>
        <v>1.0001300000000002</v>
      </c>
    </row>
    <row r="7" spans="1:10" ht="14.25" customHeight="1" x14ac:dyDescent="0.35">
      <c r="A7" s="4" t="str">
        <f>'Aggregate Report'!A7</f>
        <v>06-getEngControlBoardData</v>
      </c>
      <c r="B7" s="16">
        <f>_xlfn.XLOOKUP($A7,'Aggregate Report'!$A:$A,'Aggregate Report'!$B:$B)</f>
        <v>969</v>
      </c>
      <c r="C7" s="17">
        <f>_xlfn.XLOOKUP($A7,'Aggregate Report'!$A:$A,'Aggregate Report'!$H:$H)/1000</f>
        <v>0.47</v>
      </c>
      <c r="D7" s="17">
        <f>_xlfn.XLOOKUP($A7,'Aggregate Report'!$A:$A,'Aggregate Report'!$C:$C)/1000</f>
        <v>2.3220000000000001</v>
      </c>
      <c r="E7" s="17">
        <f>_xlfn.XLOOKUP($A7,'Aggregate Report'!$A:$A,'Aggregate Report'!$I:$I)/1000</f>
        <v>17.933</v>
      </c>
      <c r="F7" s="17">
        <f>_xlfn.XLOOKUP($A7,'Aggregate Report'!$A:$A,'Aggregate Report'!$E:$E)/1000</f>
        <v>4.4279999999999999</v>
      </c>
      <c r="G7" s="17">
        <f>_xlfn.XLOOKUP($A7,'Aggregate Report'!$A:$A,'Aggregate Report'!$F:$F)/1000</f>
        <v>4.843</v>
      </c>
      <c r="H7" s="17">
        <f>_xlfn.XLOOKUP($A7,'Aggregate Report'!$A:$A,'Aggregate Report'!$G:$G)/1000</f>
        <v>6.0830000000000002</v>
      </c>
      <c r="I7" s="25">
        <f t="shared" si="0"/>
        <v>969</v>
      </c>
      <c r="J7" s="26">
        <f>'Aggregate Report'!J7 * B7</f>
        <v>0</v>
      </c>
    </row>
    <row r="8" spans="1:10" ht="14.25" customHeight="1" x14ac:dyDescent="0.35">
      <c r="A8" s="4" t="str">
        <f>'Aggregate Report'!A8</f>
        <v>07-getEngAllocationData</v>
      </c>
      <c r="B8" s="16">
        <f>_xlfn.XLOOKUP($A8,'Aggregate Report'!$A:$A,'Aggregate Report'!$B:$B)</f>
        <v>967</v>
      </c>
      <c r="C8" s="17">
        <f>_xlfn.XLOOKUP($A8,'Aggregate Report'!$A:$A,'Aggregate Report'!$H:$H)/1000</f>
        <v>0.30599999999999999</v>
      </c>
      <c r="D8" s="17">
        <f>_xlfn.XLOOKUP($A8,'Aggregate Report'!$A:$A,'Aggregate Report'!$C:$C)/1000</f>
        <v>1.29</v>
      </c>
      <c r="E8" s="17">
        <f>_xlfn.XLOOKUP($A8,'Aggregate Report'!$A:$A,'Aggregate Report'!$I:$I)/1000</f>
        <v>6.1980000000000004</v>
      </c>
      <c r="F8" s="17">
        <f>_xlfn.XLOOKUP($A8,'Aggregate Report'!$A:$A,'Aggregate Report'!$E:$E)/1000</f>
        <v>2.5099999999999998</v>
      </c>
      <c r="G8" s="17">
        <f>_xlfn.XLOOKUP($A8,'Aggregate Report'!$A:$A,'Aggregate Report'!$F:$F)/1000</f>
        <v>2.8980000000000001</v>
      </c>
      <c r="H8" s="17">
        <f>_xlfn.XLOOKUP($A8,'Aggregate Report'!$A:$A,'Aggregate Report'!$G:$G)/1000</f>
        <v>3.5510000000000002</v>
      </c>
      <c r="I8" s="25">
        <f t="shared" si="0"/>
        <v>967</v>
      </c>
      <c r="J8" s="26">
        <f>'Aggregate Report'!J8 * B8</f>
        <v>0</v>
      </c>
    </row>
    <row r="9" spans="1:10" ht="14.25" customHeight="1" x14ac:dyDescent="0.35">
      <c r="A9" s="4" t="str">
        <f>'Aggregate Report'!A9</f>
        <v>08-getUserDetailsById</v>
      </c>
      <c r="B9" s="16">
        <f>_xlfn.XLOOKUP($A9,'Aggregate Report'!$A:$A,'Aggregate Report'!$B:$B)</f>
        <v>643</v>
      </c>
      <c r="C9" s="17">
        <f>_xlfn.XLOOKUP($A9,'Aggregate Report'!$A:$A,'Aggregate Report'!$H:$H)/1000</f>
        <v>6.3E-2</v>
      </c>
      <c r="D9" s="17">
        <f>_xlfn.XLOOKUP($A9,'Aggregate Report'!$A:$A,'Aggregate Report'!$C:$C)/1000</f>
        <v>0.16</v>
      </c>
      <c r="E9" s="17">
        <f>_xlfn.XLOOKUP($A9,'Aggregate Report'!$A:$A,'Aggregate Report'!$I:$I)/1000</f>
        <v>1.2370000000000001</v>
      </c>
      <c r="F9" s="17">
        <f>_xlfn.XLOOKUP($A9,'Aggregate Report'!$A:$A,'Aggregate Report'!$E:$E)/1000</f>
        <v>0.248</v>
      </c>
      <c r="G9" s="17">
        <f>_xlfn.XLOOKUP($A9,'Aggregate Report'!$A:$A,'Aggregate Report'!$F:$F)/1000</f>
        <v>0.30399999999999999</v>
      </c>
      <c r="H9" s="17">
        <f>_xlfn.XLOOKUP($A9,'Aggregate Report'!$A:$A,'Aggregate Report'!$G:$G)/1000</f>
        <v>0.82299999999999995</v>
      </c>
      <c r="I9" s="25">
        <f t="shared" si="0"/>
        <v>643</v>
      </c>
      <c r="J9" s="26">
        <f>'Aggregate Report'!J9 * B9</f>
        <v>0</v>
      </c>
    </row>
    <row r="10" spans="1:10" ht="14.25" customHeight="1" x14ac:dyDescent="0.35">
      <c r="A10" s="4" t="str">
        <f>'Aggregate Report'!A10</f>
        <v>09-getIngestDataByCategory</v>
      </c>
      <c r="B10" s="16">
        <f>_xlfn.XLOOKUP($A10,'Aggregate Report'!$A:$A,'Aggregate Report'!$B:$B)</f>
        <v>643</v>
      </c>
      <c r="C10" s="17">
        <f>_xlfn.XLOOKUP($A10,'Aggregate Report'!$A:$A,'Aggregate Report'!$H:$H)/1000</f>
        <v>0.217</v>
      </c>
      <c r="D10" s="17">
        <f>_xlfn.XLOOKUP($A10,'Aggregate Report'!$A:$A,'Aggregate Report'!$C:$C)/1000</f>
        <v>0.307</v>
      </c>
      <c r="E10" s="17">
        <f>_xlfn.XLOOKUP($A10,'Aggregate Report'!$A:$A,'Aggregate Report'!$I:$I)/1000</f>
        <v>2.5270000000000001</v>
      </c>
      <c r="F10" s="17">
        <f>_xlfn.XLOOKUP($A10,'Aggregate Report'!$A:$A,'Aggregate Report'!$E:$E)/1000</f>
        <v>0.35599999999999998</v>
      </c>
      <c r="G10" s="17">
        <f>_xlfn.XLOOKUP($A10,'Aggregate Report'!$A:$A,'Aggregate Report'!$F:$F)/1000</f>
        <v>0.39</v>
      </c>
      <c r="H10" s="17">
        <f>_xlfn.XLOOKUP($A10,'Aggregate Report'!$A:$A,'Aggregate Report'!$G:$G)/1000</f>
        <v>1.127</v>
      </c>
      <c r="I10" s="25">
        <f t="shared" si="0"/>
        <v>643</v>
      </c>
      <c r="J10" s="26">
        <f>'Aggregate Report'!J10 * B10</f>
        <v>0</v>
      </c>
    </row>
    <row r="11" spans="1:10" ht="14.25" customHeight="1" x14ac:dyDescent="0.35">
      <c r="A11" s="4" t="str">
        <f>'Aggregate Report'!A11</f>
        <v>10-getFlightCountByType</v>
      </c>
      <c r="B11" s="16">
        <f>_xlfn.XLOOKUP($A11,'Aggregate Report'!$A:$A,'Aggregate Report'!$B:$B)</f>
        <v>643</v>
      </c>
      <c r="C11" s="17">
        <f>_xlfn.XLOOKUP($A11,'Aggregate Report'!$A:$A,'Aggregate Report'!$H:$H)/1000</f>
        <v>0.10199999999999999</v>
      </c>
      <c r="D11" s="17">
        <f>_xlfn.XLOOKUP($A11,'Aggregate Report'!$A:$A,'Aggregate Report'!$C:$C)/1000</f>
        <v>0.19500000000000001</v>
      </c>
      <c r="E11" s="17">
        <f>_xlfn.XLOOKUP($A11,'Aggregate Report'!$A:$A,'Aggregate Report'!$I:$I)/1000</f>
        <v>3.0619999999999998</v>
      </c>
      <c r="F11" s="17">
        <f>_xlfn.XLOOKUP($A11,'Aggregate Report'!$A:$A,'Aggregate Report'!$E:$E)/1000</f>
        <v>0.26700000000000002</v>
      </c>
      <c r="G11" s="17">
        <f>_xlfn.XLOOKUP($A11,'Aggregate Report'!$A:$A,'Aggregate Report'!$F:$F)/1000</f>
        <v>0.316</v>
      </c>
      <c r="H11" s="17">
        <f>_xlfn.XLOOKUP($A11,'Aggregate Report'!$A:$A,'Aggregate Report'!$G:$G)/1000</f>
        <v>0.51300000000000001</v>
      </c>
      <c r="I11" s="25">
        <f t="shared" si="0"/>
        <v>643</v>
      </c>
      <c r="J11" s="26">
        <f>'Aggregate Report'!J11 * B11</f>
        <v>0</v>
      </c>
    </row>
    <row r="12" spans="1:10" ht="14.25" customHeight="1" x14ac:dyDescent="0.35">
      <c r="A12" s="4" t="str">
        <f>'Aggregate Report'!A12</f>
        <v>11-getFlightDetailByFlightDateStdLclv3</v>
      </c>
      <c r="B12" s="16">
        <f>_xlfn.XLOOKUP($A12,'Aggregate Report'!$A:$A,'Aggregate Report'!$B:$B)</f>
        <v>641</v>
      </c>
      <c r="C12" s="17">
        <f>_xlfn.XLOOKUP($A12,'Aggregate Report'!$A:$A,'Aggregate Report'!$H:$H)/1000</f>
        <v>7.7320000000000002</v>
      </c>
      <c r="D12" s="17">
        <f>_xlfn.XLOOKUP($A12,'Aggregate Report'!$A:$A,'Aggregate Report'!$C:$C)/1000</f>
        <v>19.082999999999998</v>
      </c>
      <c r="E12" s="17">
        <f>_xlfn.XLOOKUP($A12,'Aggregate Report'!$A:$A,'Aggregate Report'!$I:$I)/1000</f>
        <v>21.978999999999999</v>
      </c>
      <c r="F12" s="17">
        <f>_xlfn.XLOOKUP($A12,'Aggregate Report'!$A:$A,'Aggregate Report'!$E:$E)/1000</f>
        <v>20.106000000000002</v>
      </c>
      <c r="G12" s="17">
        <f>_xlfn.XLOOKUP($A12,'Aggregate Report'!$A:$A,'Aggregate Report'!$F:$F)/1000</f>
        <v>20.146000000000001</v>
      </c>
      <c r="H12" s="17">
        <f>_xlfn.XLOOKUP($A12,'Aggregate Report'!$A:$A,'Aggregate Report'!$G:$G)/1000</f>
        <v>20.574000000000002</v>
      </c>
      <c r="I12" s="25">
        <f t="shared" si="0"/>
        <v>93.00269000000003</v>
      </c>
      <c r="J12" s="26">
        <f>'Aggregate Report'!J12 * B12</f>
        <v>547.99730999999997</v>
      </c>
    </row>
    <row r="13" spans="1:10" ht="14.25" customHeight="1" x14ac:dyDescent="0.35">
      <c r="A13" s="4" t="str">
        <f>'Aggregate Report'!A13</f>
        <v>12-downloadADCFICFile</v>
      </c>
      <c r="B13" s="16">
        <f>_xlfn.XLOOKUP($A13,'Aggregate Report'!$A:$A,'Aggregate Report'!$B:$B)</f>
        <v>631</v>
      </c>
      <c r="C13" s="17">
        <f>_xlfn.XLOOKUP($A13,'Aggregate Report'!$A:$A,'Aggregate Report'!$H:$H)/1000</f>
        <v>0.47599999999999998</v>
      </c>
      <c r="D13" s="17">
        <f>_xlfn.XLOOKUP($A13,'Aggregate Report'!$A:$A,'Aggregate Report'!$C:$C)/1000</f>
        <v>3.8159999999999998</v>
      </c>
      <c r="E13" s="17">
        <f>_xlfn.XLOOKUP($A13,'Aggregate Report'!$A:$A,'Aggregate Report'!$I:$I)/1000</f>
        <v>13.708</v>
      </c>
      <c r="F13" s="17">
        <f>_xlfn.XLOOKUP($A13,'Aggregate Report'!$A:$A,'Aggregate Report'!$E:$E)/1000</f>
        <v>8.1969999999999992</v>
      </c>
      <c r="G13" s="17">
        <f>_xlfn.XLOOKUP($A13,'Aggregate Report'!$A:$A,'Aggregate Report'!$F:$F)/1000</f>
        <v>9.5500000000000007</v>
      </c>
      <c r="H13" s="17">
        <f>_xlfn.XLOOKUP($A13,'Aggregate Report'!$A:$A,'Aggregate Report'!$G:$G)/1000</f>
        <v>11.388999999999999</v>
      </c>
      <c r="I13" s="25">
        <f t="shared" si="0"/>
        <v>631</v>
      </c>
      <c r="J13" s="26">
        <f>'Aggregate Report'!J13 * B13</f>
        <v>0</v>
      </c>
    </row>
    <row r="14" spans="1:10" ht="14.25" customHeight="1" x14ac:dyDescent="0.35">
      <c r="A14" s="4" t="str">
        <f>'Aggregate Report'!A14</f>
        <v>13-getFlightDetailsByCrewId</v>
      </c>
      <c r="B14" s="16">
        <f>_xlfn.XLOOKUP($A14,'Aggregate Report'!$A:$A,'Aggregate Report'!$B:$B)</f>
        <v>627</v>
      </c>
      <c r="C14" s="17">
        <f>_xlfn.XLOOKUP($A14,'Aggregate Report'!$A:$A,'Aggregate Report'!$H:$H)/1000</f>
        <v>0.20100000000000001</v>
      </c>
      <c r="D14" s="17">
        <f>_xlfn.XLOOKUP($A14,'Aggregate Report'!$A:$A,'Aggregate Report'!$C:$C)/1000</f>
        <v>0.70499999999999996</v>
      </c>
      <c r="E14" s="17">
        <f>_xlfn.XLOOKUP($A14,'Aggregate Report'!$A:$A,'Aggregate Report'!$I:$I)/1000</f>
        <v>3.625</v>
      </c>
      <c r="F14" s="17">
        <f>_xlfn.XLOOKUP($A14,'Aggregate Report'!$A:$A,'Aggregate Report'!$E:$E)/1000</f>
        <v>1.0720000000000001</v>
      </c>
      <c r="G14" s="17">
        <f>_xlfn.XLOOKUP($A14,'Aggregate Report'!$A:$A,'Aggregate Report'!$F:$F)/1000</f>
        <v>1.21</v>
      </c>
      <c r="H14" s="17">
        <f>_xlfn.XLOOKUP($A14,'Aggregate Report'!$A:$A,'Aggregate Report'!$G:$G)/1000</f>
        <v>1.9</v>
      </c>
      <c r="I14" s="25">
        <f t="shared" si="0"/>
        <v>627</v>
      </c>
      <c r="J14" s="26">
        <f>'Aggregate Report'!J14 * B14</f>
        <v>0</v>
      </c>
    </row>
    <row r="15" spans="1:10" ht="15" customHeight="1" x14ac:dyDescent="0.35">
      <c r="A15" s="4" t="str">
        <f>'Aggregate Report'!A15</f>
        <v>14-getMelList</v>
      </c>
      <c r="B15" s="22">
        <f>_xlfn.XLOOKUP($A15,'Aggregate Report'!$A:$A,'Aggregate Report'!$B:$B)</f>
        <v>627</v>
      </c>
      <c r="C15" s="21">
        <f>_xlfn.XLOOKUP($A15,'Aggregate Report'!$A:$A,'Aggregate Report'!$H:$H)/1000</f>
        <v>0.114</v>
      </c>
      <c r="D15" s="21">
        <f>_xlfn.XLOOKUP($A15,'Aggregate Report'!$A:$A,'Aggregate Report'!$C:$C)/1000</f>
        <v>0.51700000000000002</v>
      </c>
      <c r="E15" s="21">
        <f>_xlfn.XLOOKUP($A15,'Aggregate Report'!$A:$A,'Aggregate Report'!$I:$I)/1000</f>
        <v>2.8170000000000002</v>
      </c>
      <c r="F15" s="21">
        <f>_xlfn.XLOOKUP($A15,'Aggregate Report'!$A:$A,'Aggregate Report'!$E:$E)/1000</f>
        <v>0.99</v>
      </c>
      <c r="G15" s="21">
        <f>_xlfn.XLOOKUP($A15,'Aggregate Report'!$A:$A,'Aggregate Report'!$F:$F)/1000</f>
        <v>1.196</v>
      </c>
      <c r="H15" s="21">
        <f>_xlfn.XLOOKUP($A15,'Aggregate Report'!$A:$A,'Aggregate Report'!$G:$G)/1000</f>
        <v>1.9950000000000001</v>
      </c>
      <c r="I15" s="25">
        <f t="shared" ref="I15:I21" si="1">B15-J15</f>
        <v>627</v>
      </c>
      <c r="J15" s="26">
        <f>'Aggregate Report'!J15 * B15</f>
        <v>0</v>
      </c>
    </row>
    <row r="16" spans="1:10" ht="15" customHeight="1" x14ac:dyDescent="0.35">
      <c r="A16" s="4" t="str">
        <f>'Aggregate Report'!A16</f>
        <v>15-download-mel-pdf</v>
      </c>
      <c r="B16" s="18">
        <f>_xlfn.XLOOKUP($A16,'Aggregate Report'!$A:$A,'Aggregate Report'!$B:$B)</f>
        <v>626</v>
      </c>
      <c r="C16" s="19">
        <f>_xlfn.XLOOKUP($A16,'Aggregate Report'!$A:$A,'Aggregate Report'!$H:$H)/1000</f>
        <v>0.155</v>
      </c>
      <c r="D16" s="19">
        <f>_xlfn.XLOOKUP($A16,'Aggregate Report'!$A:$A,'Aggregate Report'!$C:$C)/1000</f>
        <v>0.94699999999999995</v>
      </c>
      <c r="E16" s="19">
        <f>_xlfn.XLOOKUP($A16,'Aggregate Report'!$A:$A,'Aggregate Report'!$I:$I)/1000</f>
        <v>4.4589999999999996</v>
      </c>
      <c r="F16" s="19">
        <f>_xlfn.XLOOKUP($A16,'Aggregate Report'!$A:$A,'Aggregate Report'!$E:$E)/1000</f>
        <v>1.798</v>
      </c>
      <c r="G16" s="19">
        <f>_xlfn.XLOOKUP($A16,'Aggregate Report'!$A:$A,'Aggregate Report'!$F:$F)/1000</f>
        <v>2.4830000000000001</v>
      </c>
      <c r="H16" s="19">
        <f>_xlfn.XLOOKUP($A16,'Aggregate Report'!$A:$A,'Aggregate Report'!$G:$G)/1000</f>
        <v>3.516</v>
      </c>
      <c r="I16" s="25">
        <f t="shared" si="1"/>
        <v>626</v>
      </c>
      <c r="J16" s="26">
        <f>'Aggregate Report'!J16 * B16</f>
        <v>0</v>
      </c>
    </row>
    <row r="17" spans="1:10" ht="15" customHeight="1" x14ac:dyDescent="0.35">
      <c r="A17" s="4" t="str">
        <f>'Aggregate Report'!A17</f>
        <v>16-getAirCraftListv2</v>
      </c>
      <c r="B17" s="18">
        <f>_xlfn.XLOOKUP($A17,'Aggregate Report'!$A:$A,'Aggregate Report'!$B:$B)</f>
        <v>626</v>
      </c>
      <c r="C17" s="19">
        <f>_xlfn.XLOOKUP($A17,'Aggregate Report'!$A:$A,'Aggregate Report'!$H:$H)/1000</f>
        <v>0.06</v>
      </c>
      <c r="D17" s="19">
        <f>_xlfn.XLOOKUP($A17,'Aggregate Report'!$A:$A,'Aggregate Report'!$C:$C)/1000</f>
        <v>0.13600000000000001</v>
      </c>
      <c r="E17" s="19">
        <f>_xlfn.XLOOKUP($A17,'Aggregate Report'!$A:$A,'Aggregate Report'!$I:$I)/1000</f>
        <v>1.4219999999999999</v>
      </c>
      <c r="F17" s="19">
        <f>_xlfn.XLOOKUP($A17,'Aggregate Report'!$A:$A,'Aggregate Report'!$E:$E)/1000</f>
        <v>0.20899999999999999</v>
      </c>
      <c r="G17" s="19">
        <f>_xlfn.XLOOKUP($A17,'Aggregate Report'!$A:$A,'Aggregate Report'!$F:$F)/1000</f>
        <v>0.25</v>
      </c>
      <c r="H17" s="19">
        <f>_xlfn.XLOOKUP($A17,'Aggregate Report'!$A:$A,'Aggregate Report'!$G:$G)/1000</f>
        <v>0.38500000000000001</v>
      </c>
      <c r="I17" s="25">
        <f t="shared" si="1"/>
        <v>626</v>
      </c>
      <c r="J17" s="26">
        <f>'Aggregate Report'!J17 * B17</f>
        <v>0</v>
      </c>
    </row>
    <row r="18" spans="1:10" ht="15" customHeight="1" x14ac:dyDescent="0.35">
      <c r="A18" s="4" t="str">
        <f>'Aggregate Report'!A18</f>
        <v>18-tailFlightsForHomePage</v>
      </c>
      <c r="B18" s="18">
        <f>_xlfn.XLOOKUP($A18,'Aggregate Report'!$A:$A,'Aggregate Report'!$B:$B)</f>
        <v>626</v>
      </c>
      <c r="C18" s="19">
        <f>_xlfn.XLOOKUP($A18,'Aggregate Report'!$A:$A,'Aggregate Report'!$H:$H)/1000</f>
        <v>0.215</v>
      </c>
      <c r="D18" s="19">
        <f>_xlfn.XLOOKUP($A18,'Aggregate Report'!$A:$A,'Aggregate Report'!$C:$C)/1000</f>
        <v>1.204</v>
      </c>
      <c r="E18" s="19">
        <f>_xlfn.XLOOKUP($A18,'Aggregate Report'!$A:$A,'Aggregate Report'!$I:$I)/1000</f>
        <v>5.702</v>
      </c>
      <c r="F18" s="19">
        <f>_xlfn.XLOOKUP($A18,'Aggregate Report'!$A:$A,'Aggregate Report'!$E:$E)/1000</f>
        <v>2.2599999999999998</v>
      </c>
      <c r="G18" s="19">
        <f>_xlfn.XLOOKUP($A18,'Aggregate Report'!$A:$A,'Aggregate Report'!$F:$F)/1000</f>
        <v>2.589</v>
      </c>
      <c r="H18" s="19">
        <f>_xlfn.XLOOKUP($A18,'Aggregate Report'!$A:$A,'Aggregate Report'!$G:$G)/1000</f>
        <v>3.5339999999999998</v>
      </c>
      <c r="I18" s="25">
        <f t="shared" si="1"/>
        <v>626</v>
      </c>
      <c r="J18" s="26">
        <f>'Aggregate Report'!J18 * B18</f>
        <v>0</v>
      </c>
    </row>
    <row r="19" spans="1:10" ht="15" customHeight="1" x14ac:dyDescent="0.35">
      <c r="A19" s="4" t="str">
        <f>'Aggregate Report'!A19</f>
        <v>19-getFlightAllinfo</v>
      </c>
      <c r="B19" s="18">
        <f>_xlfn.XLOOKUP($A19,'Aggregate Report'!$A:$A,'Aggregate Report'!$B:$B)</f>
        <v>625</v>
      </c>
      <c r="C19" s="19">
        <f>_xlfn.XLOOKUP($A19,'Aggregate Report'!$A:$A,'Aggregate Report'!$H:$H)/1000</f>
        <v>5.8979999999999997</v>
      </c>
      <c r="D19" s="19">
        <f>_xlfn.XLOOKUP($A19,'Aggregate Report'!$A:$A,'Aggregate Report'!$C:$C)/1000</f>
        <v>8.9510000000000005</v>
      </c>
      <c r="E19" s="19">
        <f>_xlfn.XLOOKUP($A19,'Aggregate Report'!$A:$A,'Aggregate Report'!$I:$I)/1000</f>
        <v>14.085000000000001</v>
      </c>
      <c r="F19" s="19">
        <f>_xlfn.XLOOKUP($A19,'Aggregate Report'!$A:$A,'Aggregate Report'!$E:$E)/1000</f>
        <v>10.340999999999999</v>
      </c>
      <c r="G19" s="19">
        <f>_xlfn.XLOOKUP($A19,'Aggregate Report'!$A:$A,'Aggregate Report'!$F:$F)/1000</f>
        <v>11.052</v>
      </c>
      <c r="H19" s="19">
        <f>_xlfn.XLOOKUP($A19,'Aggregate Report'!$A:$A,'Aggregate Report'!$G:$G)/1000</f>
        <v>12.14</v>
      </c>
      <c r="I19" s="25">
        <f t="shared" si="1"/>
        <v>625</v>
      </c>
      <c r="J19" s="26">
        <f>'Aggregate Report'!J19 * B19</f>
        <v>0</v>
      </c>
    </row>
    <row r="20" spans="1:10" ht="15" customHeight="1" x14ac:dyDescent="0.35">
      <c r="A20" s="4" t="str">
        <f>'Aggregate Report'!A20</f>
        <v>20-getPtsActsListForFlights</v>
      </c>
      <c r="B20" s="18">
        <f>_xlfn.XLOOKUP($A20,'Aggregate Report'!$A:$A,'Aggregate Report'!$B:$B)</f>
        <v>618</v>
      </c>
      <c r="C20" s="19">
        <f>_xlfn.XLOOKUP($A20,'Aggregate Report'!$A:$A,'Aggregate Report'!$H:$H)/1000</f>
        <v>0.157</v>
      </c>
      <c r="D20" s="19">
        <f>_xlfn.XLOOKUP($A20,'Aggregate Report'!$A:$A,'Aggregate Report'!$C:$C)/1000</f>
        <v>0.29599999999999999</v>
      </c>
      <c r="E20" s="19">
        <f>_xlfn.XLOOKUP($A20,'Aggregate Report'!$A:$A,'Aggregate Report'!$I:$I)/1000</f>
        <v>1.9570000000000001</v>
      </c>
      <c r="F20" s="19">
        <f>_xlfn.XLOOKUP($A20,'Aggregate Report'!$A:$A,'Aggregate Report'!$E:$E)/1000</f>
        <v>0.40899999999999997</v>
      </c>
      <c r="G20" s="19">
        <f>_xlfn.XLOOKUP($A20,'Aggregate Report'!$A:$A,'Aggregate Report'!$F:$F)/1000</f>
        <v>0.48</v>
      </c>
      <c r="H20" s="19">
        <f>_xlfn.XLOOKUP($A20,'Aggregate Report'!$A:$A,'Aggregate Report'!$G:$G)/1000</f>
        <v>0.84399999999999997</v>
      </c>
      <c r="I20" s="25">
        <f t="shared" si="1"/>
        <v>618</v>
      </c>
      <c r="J20" s="26">
        <f>'Aggregate Report'!J20 * B20</f>
        <v>0</v>
      </c>
    </row>
    <row r="21" spans="1:10" ht="15" customHeight="1" x14ac:dyDescent="0.35">
      <c r="A21" s="4" t="str">
        <f>'Aggregate Report'!A21</f>
        <v>21-addPtsComments</v>
      </c>
      <c r="B21" s="18">
        <f>_xlfn.XLOOKUP($A21,'Aggregate Report'!$A:$A,'Aggregate Report'!$B:$B)</f>
        <v>618</v>
      </c>
      <c r="C21" s="19">
        <f>_xlfn.XLOOKUP($A21,'Aggregate Report'!$A:$A,'Aggregate Report'!$H:$H)/1000</f>
        <v>6.0999999999999999E-2</v>
      </c>
      <c r="D21" s="19">
        <f>_xlfn.XLOOKUP($A21,'Aggregate Report'!$A:$A,'Aggregate Report'!$C:$C)/1000</f>
        <v>0.14000000000000001</v>
      </c>
      <c r="E21" s="19">
        <f>_xlfn.XLOOKUP($A21,'Aggregate Report'!$A:$A,'Aggregate Report'!$I:$I)/1000</f>
        <v>1.2430000000000001</v>
      </c>
      <c r="F21" s="19">
        <f>_xlfn.XLOOKUP($A21,'Aggregate Report'!$A:$A,'Aggregate Report'!$E:$E)/1000</f>
        <v>0.21</v>
      </c>
      <c r="G21" s="19">
        <f>_xlfn.XLOOKUP($A21,'Aggregate Report'!$A:$A,'Aggregate Report'!$F:$F)/1000</f>
        <v>0.26800000000000002</v>
      </c>
      <c r="H21" s="19">
        <f>_xlfn.XLOOKUP($A21,'Aggregate Report'!$A:$A,'Aggregate Report'!$G:$G)/1000</f>
        <v>0.38400000000000001</v>
      </c>
      <c r="I21" s="25">
        <f t="shared" si="1"/>
        <v>618</v>
      </c>
      <c r="J21" s="26">
        <f>'Aggregate Report'!J21 * B21</f>
        <v>0</v>
      </c>
    </row>
    <row r="22" spans="1:10" ht="15" customHeight="1" x14ac:dyDescent="0.35">
      <c r="A22" s="4" t="str">
        <f>'Aggregate Report'!A22</f>
        <v>22-reportWrongChocksOn</v>
      </c>
      <c r="B22" s="36">
        <f>_xlfn.XLOOKUP($A22,'Aggregate Report'!$A:$A,'Aggregate Report'!$B:$B)</f>
        <v>618</v>
      </c>
      <c r="C22" s="37">
        <f>_xlfn.XLOOKUP($A22,'Aggregate Report'!$A:$A,'Aggregate Report'!$H:$H)/1000</f>
        <v>5.8999999999999997E-2</v>
      </c>
      <c r="D22" s="37">
        <f>_xlfn.XLOOKUP($A22,'Aggregate Report'!$A:$A,'Aggregate Report'!$C:$C)/1000</f>
        <v>0.16300000000000001</v>
      </c>
      <c r="E22" s="37">
        <f>_xlfn.XLOOKUP($A22,'Aggregate Report'!$A:$A,'Aggregate Report'!$I:$I)/1000</f>
        <v>1.2010000000000001</v>
      </c>
      <c r="F22" s="37">
        <f>_xlfn.XLOOKUP($A22,'Aggregate Report'!$A:$A,'Aggregate Report'!$E:$E)/1000</f>
        <v>0.252</v>
      </c>
      <c r="G22" s="37">
        <f>_xlfn.XLOOKUP($A22,'Aggregate Report'!$A:$A,'Aggregate Report'!$F:$F)/1000</f>
        <v>0.32700000000000001</v>
      </c>
      <c r="H22" s="37">
        <f>_xlfn.XLOOKUP($A22,'Aggregate Report'!$A:$A,'Aggregate Report'!$G:$G)/1000</f>
        <v>0.58299999999999996</v>
      </c>
      <c r="I22" s="25">
        <f t="shared" ref="I22:I53" si="2">B22-J22</f>
        <v>618</v>
      </c>
      <c r="J22" s="26">
        <f>'Aggregate Report'!J22 * B22</f>
        <v>0</v>
      </c>
    </row>
    <row r="23" spans="1:10" ht="15" customHeight="1" x14ac:dyDescent="0.35">
      <c r="A23" s="4" t="str">
        <f>'Aggregate Report'!A23</f>
        <v>23-updatePtsActivity</v>
      </c>
      <c r="B23" s="32">
        <f>_xlfn.XLOOKUP($A23,'Aggregate Report'!$A:$A,'Aggregate Report'!$B:$B)</f>
        <v>617</v>
      </c>
      <c r="C23" s="33">
        <f>_xlfn.XLOOKUP($A23,'Aggregate Report'!$A:$A,'Aggregate Report'!$H:$H)/1000</f>
        <v>6.3E-2</v>
      </c>
      <c r="D23" s="33">
        <f>_xlfn.XLOOKUP($A23,'Aggregate Report'!$A:$A,'Aggregate Report'!$C:$C)/1000</f>
        <v>0.13600000000000001</v>
      </c>
      <c r="E23" s="33">
        <f>_xlfn.XLOOKUP($A23,'Aggregate Report'!$A:$A,'Aggregate Report'!$I:$I)/1000</f>
        <v>2.1880000000000002</v>
      </c>
      <c r="F23" s="33">
        <f>_xlfn.XLOOKUP($A23,'Aggregate Report'!$A:$A,'Aggregate Report'!$E:$E)/1000</f>
        <v>0.19600000000000001</v>
      </c>
      <c r="G23" s="33">
        <f>_xlfn.XLOOKUP($A23,'Aggregate Report'!$A:$A,'Aggregate Report'!$F:$F)/1000</f>
        <v>0.23200000000000001</v>
      </c>
      <c r="H23" s="33">
        <f>_xlfn.XLOOKUP($A23,'Aggregate Report'!$A:$A,'Aggregate Report'!$G:$G)/1000</f>
        <v>0.34599999999999997</v>
      </c>
      <c r="I23" s="34">
        <f t="shared" si="2"/>
        <v>617</v>
      </c>
      <c r="J23" s="35">
        <f>'Aggregate Report'!J23 * B23</f>
        <v>0</v>
      </c>
    </row>
    <row r="24" spans="1:10" ht="15" customHeight="1" x14ac:dyDescent="0.35">
      <c r="A24" s="4" t="str">
        <f>'Aggregate Report'!A24</f>
        <v>24-retrieveDocRampMessage</v>
      </c>
      <c r="B24" s="32">
        <f>_xlfn.XLOOKUP($A24,'Aggregate Report'!$A:$A,'Aggregate Report'!$B:$B)</f>
        <v>616</v>
      </c>
      <c r="C24" s="33">
        <f>_xlfn.XLOOKUP($A24,'Aggregate Report'!$A:$A,'Aggregate Report'!$H:$H)/1000</f>
        <v>5.8999999999999997E-2</v>
      </c>
      <c r="D24" s="33">
        <f>_xlfn.XLOOKUP($A24,'Aggregate Report'!$A:$A,'Aggregate Report'!$C:$C)/1000</f>
        <v>0.13800000000000001</v>
      </c>
      <c r="E24" s="33">
        <f>_xlfn.XLOOKUP($A24,'Aggregate Report'!$A:$A,'Aggregate Report'!$I:$I)/1000</f>
        <v>2.4860000000000002</v>
      </c>
      <c r="F24" s="33">
        <f>_xlfn.XLOOKUP($A24,'Aggregate Report'!$A:$A,'Aggregate Report'!$E:$E)/1000</f>
        <v>0.21199999999999999</v>
      </c>
      <c r="G24" s="33">
        <f>_xlfn.XLOOKUP($A24,'Aggregate Report'!$A:$A,'Aggregate Report'!$F:$F)/1000</f>
        <v>0.27300000000000002</v>
      </c>
      <c r="H24" s="33">
        <f>_xlfn.XLOOKUP($A24,'Aggregate Report'!$A:$A,'Aggregate Report'!$G:$G)/1000</f>
        <v>0.41599999999999998</v>
      </c>
      <c r="I24" s="34">
        <f t="shared" si="2"/>
        <v>616</v>
      </c>
      <c r="J24" s="35">
        <f>'Aggregate Report'!J24 * B24</f>
        <v>0</v>
      </c>
    </row>
    <row r="25" spans="1:10" ht="15" customHeight="1" x14ac:dyDescent="0.35">
      <c r="A25" s="4" t="str">
        <f>'Aggregate Report'!A25</f>
        <v>25_1-getPtsActivityReasons</v>
      </c>
      <c r="B25" s="32">
        <f>_xlfn.XLOOKUP($A25,'Aggregate Report'!$A:$A,'Aggregate Report'!$B:$B)</f>
        <v>614</v>
      </c>
      <c r="C25" s="33">
        <f>_xlfn.XLOOKUP($A25,'Aggregate Report'!$A:$A,'Aggregate Report'!$H:$H)/1000</f>
        <v>5.6000000000000001E-2</v>
      </c>
      <c r="D25" s="33">
        <f>_xlfn.XLOOKUP($A25,'Aggregate Report'!$A:$A,'Aggregate Report'!$C:$C)/1000</f>
        <v>0.11</v>
      </c>
      <c r="E25" s="33">
        <f>_xlfn.XLOOKUP($A25,'Aggregate Report'!$A:$A,'Aggregate Report'!$I:$I)/1000</f>
        <v>1.4590000000000001</v>
      </c>
      <c r="F25" s="33">
        <f>_xlfn.XLOOKUP($A25,'Aggregate Report'!$A:$A,'Aggregate Report'!$E:$E)/1000</f>
        <v>0.15</v>
      </c>
      <c r="G25" s="33">
        <f>_xlfn.XLOOKUP($A25,'Aggregate Report'!$A:$A,'Aggregate Report'!$F:$F)/1000</f>
        <v>0.19400000000000001</v>
      </c>
      <c r="H25" s="33">
        <f>_xlfn.XLOOKUP($A25,'Aggregate Report'!$A:$A,'Aggregate Report'!$G:$G)/1000</f>
        <v>0.35199999999999998</v>
      </c>
      <c r="I25" s="34">
        <f t="shared" si="2"/>
        <v>614</v>
      </c>
      <c r="J25" s="35">
        <f>'Aggregate Report'!J25 * B25</f>
        <v>0</v>
      </c>
    </row>
    <row r="26" spans="1:10" ht="15" customHeight="1" x14ac:dyDescent="0.35">
      <c r="A26" s="4" t="str">
        <f>'Aggregate Report'!A26</f>
        <v>25_2-savePtsNotStartedReason</v>
      </c>
      <c r="B26" s="32">
        <f>_xlfn.XLOOKUP($A26,'Aggregate Report'!$A:$A,'Aggregate Report'!$B:$B)</f>
        <v>614</v>
      </c>
      <c r="C26" s="33">
        <f>_xlfn.XLOOKUP($A26,'Aggregate Report'!$A:$A,'Aggregate Report'!$H:$H)/1000</f>
        <v>6.3E-2</v>
      </c>
      <c r="D26" s="33">
        <f>_xlfn.XLOOKUP($A26,'Aggregate Report'!$A:$A,'Aggregate Report'!$C:$C)/1000</f>
        <v>0.14000000000000001</v>
      </c>
      <c r="E26" s="33">
        <f>_xlfn.XLOOKUP($A26,'Aggregate Report'!$A:$A,'Aggregate Report'!$I:$I)/1000</f>
        <v>1.097</v>
      </c>
      <c r="F26" s="33">
        <f>_xlfn.XLOOKUP($A26,'Aggregate Report'!$A:$A,'Aggregate Report'!$E:$E)/1000</f>
        <v>0.20399999999999999</v>
      </c>
      <c r="G26" s="33">
        <f>_xlfn.XLOOKUP($A26,'Aggregate Report'!$A:$A,'Aggregate Report'!$F:$F)/1000</f>
        <v>0.23599999999999999</v>
      </c>
      <c r="H26" s="33">
        <f>_xlfn.XLOOKUP($A26,'Aggregate Report'!$A:$A,'Aggregate Report'!$G:$G)/1000</f>
        <v>0.41499999999999998</v>
      </c>
      <c r="I26" s="34">
        <f t="shared" si="2"/>
        <v>614</v>
      </c>
      <c r="J26" s="35">
        <f>'Aggregate Report'!J26 * B26</f>
        <v>0</v>
      </c>
    </row>
    <row r="27" spans="1:10" ht="15" customHeight="1" x14ac:dyDescent="0.35">
      <c r="A27" s="4" t="str">
        <f>'Aggregate Report'!A27</f>
        <v>25_3-passenger-reports</v>
      </c>
      <c r="B27" s="32">
        <f>_xlfn.XLOOKUP($A27,'Aggregate Report'!$A:$A,'Aggregate Report'!$B:$B)</f>
        <v>614</v>
      </c>
      <c r="C27" s="33">
        <f>_xlfn.XLOOKUP($A27,'Aggregate Report'!$A:$A,'Aggregate Report'!$H:$H)/1000</f>
        <v>4.6449999999999996</v>
      </c>
      <c r="D27" s="33">
        <f>_xlfn.XLOOKUP($A27,'Aggregate Report'!$A:$A,'Aggregate Report'!$C:$C)/1000</f>
        <v>8.14</v>
      </c>
      <c r="E27" s="33">
        <f>_xlfn.XLOOKUP($A27,'Aggregate Report'!$A:$A,'Aggregate Report'!$I:$I)/1000</f>
        <v>16.193000000000001</v>
      </c>
      <c r="F27" s="33">
        <f>_xlfn.XLOOKUP($A27,'Aggregate Report'!$A:$A,'Aggregate Report'!$E:$E)/1000</f>
        <v>11.279</v>
      </c>
      <c r="G27" s="33">
        <f>_xlfn.XLOOKUP($A27,'Aggregate Report'!$A:$A,'Aggregate Report'!$F:$F)/1000</f>
        <v>12.304</v>
      </c>
      <c r="H27" s="33">
        <f>_xlfn.XLOOKUP($A27,'Aggregate Report'!$A:$A,'Aggregate Report'!$G:$G)/1000</f>
        <v>14.044</v>
      </c>
      <c r="I27" s="34">
        <f t="shared" si="2"/>
        <v>614</v>
      </c>
      <c r="J27" s="35">
        <f>'Aggregate Report'!J27 * B27</f>
        <v>0</v>
      </c>
    </row>
    <row r="28" spans="1:10" ht="15" customHeight="1" x14ac:dyDescent="0.35">
      <c r="A28" s="4" t="str">
        <f>'Aggregate Report'!A28</f>
        <v>25_4-load-ramp-reports</v>
      </c>
      <c r="B28" s="32">
        <f>_xlfn.XLOOKUP($A28,'Aggregate Report'!$A:$A,'Aggregate Report'!$B:$B)</f>
        <v>608</v>
      </c>
      <c r="C28" s="33">
        <f>_xlfn.XLOOKUP($A28,'Aggregate Report'!$A:$A,'Aggregate Report'!$H:$H)/1000</f>
        <v>0.51600000000000001</v>
      </c>
      <c r="D28" s="33">
        <f>_xlfn.XLOOKUP($A28,'Aggregate Report'!$A:$A,'Aggregate Report'!$C:$C)/1000</f>
        <v>1.026</v>
      </c>
      <c r="E28" s="33">
        <f>_xlfn.XLOOKUP($A28,'Aggregate Report'!$A:$A,'Aggregate Report'!$I:$I)/1000</f>
        <v>3.782</v>
      </c>
      <c r="F28" s="33">
        <f>_xlfn.XLOOKUP($A28,'Aggregate Report'!$A:$A,'Aggregate Report'!$E:$E)/1000</f>
        <v>1.6319999999999999</v>
      </c>
      <c r="G28" s="33">
        <f>_xlfn.XLOOKUP($A28,'Aggregate Report'!$A:$A,'Aggregate Report'!$F:$F)/1000</f>
        <v>1.8</v>
      </c>
      <c r="H28" s="33">
        <f>_xlfn.XLOOKUP($A28,'Aggregate Report'!$A:$A,'Aggregate Report'!$G:$G)/1000</f>
        <v>2.3650000000000002</v>
      </c>
      <c r="I28" s="34">
        <f t="shared" si="2"/>
        <v>608</v>
      </c>
      <c r="J28" s="35">
        <f>'Aggregate Report'!J28 * B28</f>
        <v>0</v>
      </c>
    </row>
    <row r="29" spans="1:10" ht="15" customHeight="1" x14ac:dyDescent="0.35">
      <c r="A29" s="4" t="str">
        <f>'Aggregate Report'!A29</f>
        <v>25-listPassengersByFlight</v>
      </c>
      <c r="B29" s="32">
        <f>_xlfn.XLOOKUP($A29,'Aggregate Report'!$A:$A,'Aggregate Report'!$B:$B)</f>
        <v>616</v>
      </c>
      <c r="C29" s="33">
        <f>_xlfn.XLOOKUP($A29,'Aggregate Report'!$A:$A,'Aggregate Report'!$H:$H)/1000</f>
        <v>4.5259999999999998</v>
      </c>
      <c r="D29" s="33">
        <f>_xlfn.XLOOKUP($A29,'Aggregate Report'!$A:$A,'Aggregate Report'!$C:$C)/1000</f>
        <v>5.819</v>
      </c>
      <c r="E29" s="33">
        <f>_xlfn.XLOOKUP($A29,'Aggregate Report'!$A:$A,'Aggregate Report'!$I:$I)/1000</f>
        <v>8.3789999999999996</v>
      </c>
      <c r="F29" s="33">
        <f>_xlfn.XLOOKUP($A29,'Aggregate Report'!$A:$A,'Aggregate Report'!$E:$E)/1000</f>
        <v>6.673</v>
      </c>
      <c r="G29" s="33">
        <f>_xlfn.XLOOKUP($A29,'Aggregate Report'!$A:$A,'Aggregate Report'!$F:$F)/1000</f>
        <v>7.0880000000000001</v>
      </c>
      <c r="H29" s="33">
        <f>_xlfn.XLOOKUP($A29,'Aggregate Report'!$A:$A,'Aggregate Report'!$G:$G)/1000</f>
        <v>8.0250000000000004</v>
      </c>
      <c r="I29" s="34">
        <f t="shared" si="2"/>
        <v>616</v>
      </c>
      <c r="J29" s="35">
        <f>'Aggregate Report'!J29 * B29</f>
        <v>0</v>
      </c>
    </row>
    <row r="30" spans="1:10" ht="15" customHeight="1" x14ac:dyDescent="0.35">
      <c r="A30" s="4" t="str">
        <f>'Aggregate Report'!A30</f>
        <v>26-getFuelDashboard</v>
      </c>
      <c r="B30" s="32">
        <f>_xlfn.XLOOKUP($A30,'Aggregate Report'!$A:$A,'Aggregate Report'!$B:$B)</f>
        <v>603</v>
      </c>
      <c r="C30" s="33">
        <f>_xlfn.XLOOKUP($A30,'Aggregate Report'!$A:$A,'Aggregate Report'!$H:$H)/1000</f>
        <v>0.34100000000000003</v>
      </c>
      <c r="D30" s="33">
        <f>_xlfn.XLOOKUP($A30,'Aggregate Report'!$A:$A,'Aggregate Report'!$C:$C)/1000</f>
        <v>1.9139999999999999</v>
      </c>
      <c r="E30" s="33">
        <f>_xlfn.XLOOKUP($A30,'Aggregate Report'!$A:$A,'Aggregate Report'!$I:$I)/1000</f>
        <v>7.9029999999999996</v>
      </c>
      <c r="F30" s="33">
        <f>_xlfn.XLOOKUP($A30,'Aggregate Report'!$A:$A,'Aggregate Report'!$E:$E)/1000</f>
        <v>3.6840000000000002</v>
      </c>
      <c r="G30" s="33">
        <f>_xlfn.XLOOKUP($A30,'Aggregate Report'!$A:$A,'Aggregate Report'!$F:$F)/1000</f>
        <v>4.2359999999999998</v>
      </c>
      <c r="H30" s="33">
        <f>_xlfn.XLOOKUP($A30,'Aggregate Report'!$A:$A,'Aggregate Report'!$G:$G)/1000</f>
        <v>5.5949999999999998</v>
      </c>
      <c r="I30" s="34">
        <f t="shared" si="2"/>
        <v>603</v>
      </c>
      <c r="J30" s="35">
        <f>'Aggregate Report'!J30 * B30</f>
        <v>0</v>
      </c>
    </row>
    <row r="31" spans="1:10" ht="15" customHeight="1" x14ac:dyDescent="0.35">
      <c r="A31" s="4" t="str">
        <f>'Aggregate Report'!A31</f>
        <v>27-getFuelCompDataForId</v>
      </c>
      <c r="B31" s="32">
        <f>_xlfn.XLOOKUP($A31,'Aggregate Report'!$A:$A,'Aggregate Report'!$B:$B)</f>
        <v>603</v>
      </c>
      <c r="C31" s="33">
        <f>_xlfn.XLOOKUP($A31,'Aggregate Report'!$A:$A,'Aggregate Report'!$H:$H)/1000</f>
        <v>6.5000000000000002E-2</v>
      </c>
      <c r="D31" s="33">
        <f>_xlfn.XLOOKUP($A31,'Aggregate Report'!$A:$A,'Aggregate Report'!$C:$C)/1000</f>
        <v>0.16400000000000001</v>
      </c>
      <c r="E31" s="33">
        <f>_xlfn.XLOOKUP($A31,'Aggregate Report'!$A:$A,'Aggregate Report'!$I:$I)/1000</f>
        <v>1.258</v>
      </c>
      <c r="F31" s="33">
        <f>_xlfn.XLOOKUP($A31,'Aggregate Report'!$A:$A,'Aggregate Report'!$E:$E)/1000</f>
        <v>0.23899999999999999</v>
      </c>
      <c r="G31" s="33">
        <f>_xlfn.XLOOKUP($A31,'Aggregate Report'!$A:$A,'Aggregate Report'!$F:$F)/1000</f>
        <v>0.29499999999999998</v>
      </c>
      <c r="H31" s="33">
        <f>_xlfn.XLOOKUP($A31,'Aggregate Report'!$A:$A,'Aggregate Report'!$G:$G)/1000</f>
        <v>0.56999999999999995</v>
      </c>
      <c r="I31" s="34">
        <f t="shared" si="2"/>
        <v>601.99901999999997</v>
      </c>
      <c r="J31" s="35">
        <f>'Aggregate Report'!J31 * B31</f>
        <v>1.00098</v>
      </c>
    </row>
    <row r="32" spans="1:10" ht="15" customHeight="1" x14ac:dyDescent="0.35">
      <c r="A32" s="4" t="str">
        <f>'Aggregate Report'!A32</f>
        <v>28-getPTSDashboard</v>
      </c>
      <c r="B32" s="32">
        <f>_xlfn.XLOOKUP($A32,'Aggregate Report'!$A:$A,'Aggregate Report'!$B:$B)</f>
        <v>322</v>
      </c>
      <c r="C32" s="33">
        <f>_xlfn.XLOOKUP($A32,'Aggregate Report'!$A:$A,'Aggregate Report'!$H:$H)/1000</f>
        <v>0.26</v>
      </c>
      <c r="D32" s="33">
        <f>_xlfn.XLOOKUP($A32,'Aggregate Report'!$A:$A,'Aggregate Report'!$C:$C)/1000</f>
        <v>0.92600000000000005</v>
      </c>
      <c r="E32" s="33">
        <f>_xlfn.XLOOKUP($A32,'Aggregate Report'!$A:$A,'Aggregate Report'!$I:$I)/1000</f>
        <v>4.8410000000000002</v>
      </c>
      <c r="F32" s="33">
        <f>_xlfn.XLOOKUP($A32,'Aggregate Report'!$A:$A,'Aggregate Report'!$E:$E)/1000</f>
        <v>1.702</v>
      </c>
      <c r="G32" s="33">
        <f>_xlfn.XLOOKUP($A32,'Aggregate Report'!$A:$A,'Aggregate Report'!$F:$F)/1000</f>
        <v>1.976</v>
      </c>
      <c r="H32" s="33">
        <f>_xlfn.XLOOKUP($A32,'Aggregate Report'!$A:$A,'Aggregate Report'!$G:$G)/1000</f>
        <v>4.1719999999999997</v>
      </c>
      <c r="I32" s="34">
        <f t="shared" si="2"/>
        <v>322</v>
      </c>
      <c r="J32" s="35">
        <f>'Aggregate Report'!J32 * B32</f>
        <v>0</v>
      </c>
    </row>
    <row r="33" spans="1:10" ht="15" customHeight="1" x14ac:dyDescent="0.35">
      <c r="A33" s="4" t="str">
        <f>'Aggregate Report'!A33</f>
        <v>29-CheckFlight</v>
      </c>
      <c r="B33" s="32">
        <f>_xlfn.XLOOKUP($A33,'Aggregate Report'!$A:$A,'Aggregate Report'!$B:$B)</f>
        <v>186</v>
      </c>
      <c r="C33" s="33">
        <f>_xlfn.XLOOKUP($A33,'Aggregate Report'!$A:$A,'Aggregate Report'!$H:$H)/1000</f>
        <v>6.0999999999999999E-2</v>
      </c>
      <c r="D33" s="33">
        <f>_xlfn.XLOOKUP($A33,'Aggregate Report'!$A:$A,'Aggregate Report'!$C:$C)/1000</f>
        <v>0.13400000000000001</v>
      </c>
      <c r="E33" s="33">
        <f>_xlfn.XLOOKUP($A33,'Aggregate Report'!$A:$A,'Aggregate Report'!$I:$I)/1000</f>
        <v>0.64100000000000001</v>
      </c>
      <c r="F33" s="33">
        <f>_xlfn.XLOOKUP($A33,'Aggregate Report'!$A:$A,'Aggregate Report'!$E:$E)/1000</f>
        <v>0.185</v>
      </c>
      <c r="G33" s="33">
        <f>_xlfn.XLOOKUP($A33,'Aggregate Report'!$A:$A,'Aggregate Report'!$F:$F)/1000</f>
        <v>0.28999999999999998</v>
      </c>
      <c r="H33" s="33">
        <f>_xlfn.XLOOKUP($A33,'Aggregate Report'!$A:$A,'Aggregate Report'!$G:$G)/1000</f>
        <v>0.58799999999999997</v>
      </c>
      <c r="I33" s="34">
        <f t="shared" si="2"/>
        <v>186</v>
      </c>
      <c r="J33" s="35">
        <f>'Aggregate Report'!J33 * B33</f>
        <v>0</v>
      </c>
    </row>
    <row r="34" spans="1:10" ht="15" customHeight="1" x14ac:dyDescent="0.35">
      <c r="A34" s="4" t="str">
        <f>'Aggregate Report'!A34</f>
        <v>30-getBagBeltDetails</v>
      </c>
      <c r="B34" s="32">
        <f>_xlfn.XLOOKUP($A34,'Aggregate Report'!$A:$A,'Aggregate Report'!$B:$B)</f>
        <v>186</v>
      </c>
      <c r="C34" s="33">
        <f>_xlfn.XLOOKUP($A34,'Aggregate Report'!$A:$A,'Aggregate Report'!$H:$H)/1000</f>
        <v>0.06</v>
      </c>
      <c r="D34" s="33">
        <f>_xlfn.XLOOKUP($A34,'Aggregate Report'!$A:$A,'Aggregate Report'!$C:$C)/1000</f>
        <v>0.123</v>
      </c>
      <c r="E34" s="33">
        <f>_xlfn.XLOOKUP($A34,'Aggregate Report'!$A:$A,'Aggregate Report'!$I:$I)/1000</f>
        <v>0.70299999999999996</v>
      </c>
      <c r="F34" s="33">
        <f>_xlfn.XLOOKUP($A34,'Aggregate Report'!$A:$A,'Aggregate Report'!$E:$E)/1000</f>
        <v>0.16800000000000001</v>
      </c>
      <c r="G34" s="33">
        <f>_xlfn.XLOOKUP($A34,'Aggregate Report'!$A:$A,'Aggregate Report'!$F:$F)/1000</f>
        <v>0.23300000000000001</v>
      </c>
      <c r="H34" s="33">
        <f>_xlfn.XLOOKUP($A34,'Aggregate Report'!$A:$A,'Aggregate Report'!$G:$G)/1000</f>
        <v>0.38500000000000001</v>
      </c>
      <c r="I34" s="34">
        <f t="shared" si="2"/>
        <v>186</v>
      </c>
      <c r="J34" s="35">
        <f>'Aggregate Report'!J34 * B34</f>
        <v>0</v>
      </c>
    </row>
    <row r="35" spans="1:10" ht="15" customHeight="1" x14ac:dyDescent="0.35">
      <c r="A35" s="4" t="str">
        <f>'Aggregate Report'!A35</f>
        <v>31-SaveBagBeltDetails</v>
      </c>
      <c r="B35" s="32">
        <f>_xlfn.XLOOKUP($A35,'Aggregate Report'!$A:$A,'Aggregate Report'!$B:$B)</f>
        <v>186</v>
      </c>
      <c r="C35" s="33">
        <f>_xlfn.XLOOKUP($A35,'Aggregate Report'!$A:$A,'Aggregate Report'!$H:$H)/1000</f>
        <v>0.06</v>
      </c>
      <c r="D35" s="33">
        <f>_xlfn.XLOOKUP($A35,'Aggregate Report'!$A:$A,'Aggregate Report'!$C:$C)/1000</f>
        <v>0.13100000000000001</v>
      </c>
      <c r="E35" s="33">
        <f>_xlfn.XLOOKUP($A35,'Aggregate Report'!$A:$A,'Aggregate Report'!$I:$I)/1000</f>
        <v>1.583</v>
      </c>
      <c r="F35" s="33">
        <f>_xlfn.XLOOKUP($A35,'Aggregate Report'!$A:$A,'Aggregate Report'!$E:$E)/1000</f>
        <v>0.186</v>
      </c>
      <c r="G35" s="33">
        <f>_xlfn.XLOOKUP($A35,'Aggregate Report'!$A:$A,'Aggregate Report'!$F:$F)/1000</f>
        <v>0.22900000000000001</v>
      </c>
      <c r="H35" s="33">
        <f>_xlfn.XLOOKUP($A35,'Aggregate Report'!$A:$A,'Aggregate Report'!$G:$G)/1000</f>
        <v>0.51400000000000001</v>
      </c>
      <c r="I35" s="34">
        <f t="shared" si="2"/>
        <v>186</v>
      </c>
      <c r="J35" s="35">
        <f>'Aggregate Report'!J35 * B35</f>
        <v>0</v>
      </c>
    </row>
    <row r="36" spans="1:10" ht="15" customHeight="1" x14ac:dyDescent="0.35">
      <c r="A36" s="4" t="str">
        <f>'Aggregate Report'!A36</f>
        <v>48-getDeptList</v>
      </c>
      <c r="B36" s="32">
        <f>_xlfn.XLOOKUP($A36,'Aggregate Report'!$A:$A,'Aggregate Report'!$B:$B)</f>
        <v>64</v>
      </c>
      <c r="C36" s="33">
        <f>_xlfn.XLOOKUP($A36,'Aggregate Report'!$A:$A,'Aggregate Report'!$H:$H)/1000</f>
        <v>5.6000000000000001E-2</v>
      </c>
      <c r="D36" s="33">
        <f>_xlfn.XLOOKUP($A36,'Aggregate Report'!$A:$A,'Aggregate Report'!$C:$C)/1000</f>
        <v>0.13500000000000001</v>
      </c>
      <c r="E36" s="33">
        <f>_xlfn.XLOOKUP($A36,'Aggregate Report'!$A:$A,'Aggregate Report'!$I:$I)/1000</f>
        <v>1.9379999999999999</v>
      </c>
      <c r="F36" s="33">
        <f>_xlfn.XLOOKUP($A36,'Aggregate Report'!$A:$A,'Aggregate Report'!$E:$E)/1000</f>
        <v>0.186</v>
      </c>
      <c r="G36" s="33">
        <f>_xlfn.XLOOKUP($A36,'Aggregate Report'!$A:$A,'Aggregate Report'!$F:$F)/1000</f>
        <v>0.221</v>
      </c>
      <c r="H36" s="33">
        <f>_xlfn.XLOOKUP($A36,'Aggregate Report'!$A:$A,'Aggregate Report'!$G:$G)/1000</f>
        <v>0.25</v>
      </c>
      <c r="I36" s="34">
        <f t="shared" si="2"/>
        <v>64</v>
      </c>
      <c r="J36" s="35">
        <f>'Aggregate Report'!J36 * B36</f>
        <v>0</v>
      </c>
    </row>
    <row r="37" spans="1:10" ht="15" customHeight="1" x14ac:dyDescent="0.35">
      <c r="A37" s="4" t="str">
        <f>'Aggregate Report'!A37</f>
        <v>49-getStationList</v>
      </c>
      <c r="B37" s="32">
        <f>_xlfn.XLOOKUP($A37,'Aggregate Report'!$A:$A,'Aggregate Report'!$B:$B)</f>
        <v>64</v>
      </c>
      <c r="C37" s="33">
        <f>_xlfn.XLOOKUP($A37,'Aggregate Report'!$A:$A,'Aggregate Report'!$H:$H)/1000</f>
        <v>7.4999999999999997E-2</v>
      </c>
      <c r="D37" s="33">
        <f>_xlfn.XLOOKUP($A37,'Aggregate Report'!$A:$A,'Aggregate Report'!$C:$C)/1000</f>
        <v>0.14099999999999999</v>
      </c>
      <c r="E37" s="33">
        <f>_xlfn.XLOOKUP($A37,'Aggregate Report'!$A:$A,'Aggregate Report'!$I:$I)/1000</f>
        <v>0.79200000000000004</v>
      </c>
      <c r="F37" s="33">
        <f>_xlfn.XLOOKUP($A37,'Aggregate Report'!$A:$A,'Aggregate Report'!$E:$E)/1000</f>
        <v>0.19800000000000001</v>
      </c>
      <c r="G37" s="33">
        <f>_xlfn.XLOOKUP($A37,'Aggregate Report'!$A:$A,'Aggregate Report'!$F:$F)/1000</f>
        <v>0.222</v>
      </c>
      <c r="H37" s="33">
        <f>_xlfn.XLOOKUP($A37,'Aggregate Report'!$A:$A,'Aggregate Report'!$G:$G)/1000</f>
        <v>0.33100000000000002</v>
      </c>
      <c r="I37" s="34">
        <f t="shared" si="2"/>
        <v>64</v>
      </c>
      <c r="J37" s="35">
        <f>'Aggregate Report'!J37 * B37</f>
        <v>0</v>
      </c>
    </row>
    <row r="38" spans="1:10" ht="15" customHeight="1" x14ac:dyDescent="0.35">
      <c r="A38" s="4" t="str">
        <f>'Aggregate Report'!A38</f>
        <v>50-getStation</v>
      </c>
      <c r="B38" s="32">
        <f>_xlfn.XLOOKUP($A38,'Aggregate Report'!$A:$A,'Aggregate Report'!$B:$B)</f>
        <v>64</v>
      </c>
      <c r="C38" s="33">
        <f>_xlfn.XLOOKUP($A38,'Aggregate Report'!$A:$A,'Aggregate Report'!$H:$H)/1000</f>
        <v>6.0999999999999999E-2</v>
      </c>
      <c r="D38" s="33">
        <f>_xlfn.XLOOKUP($A38,'Aggregate Report'!$A:$A,'Aggregate Report'!$C:$C)/1000</f>
        <v>0.13600000000000001</v>
      </c>
      <c r="E38" s="33">
        <f>_xlfn.XLOOKUP($A38,'Aggregate Report'!$A:$A,'Aggregate Report'!$I:$I)/1000</f>
        <v>1.03</v>
      </c>
      <c r="F38" s="33">
        <f>_xlfn.XLOOKUP($A38,'Aggregate Report'!$A:$A,'Aggregate Report'!$E:$E)/1000</f>
        <v>0.17699999999999999</v>
      </c>
      <c r="G38" s="33">
        <f>_xlfn.XLOOKUP($A38,'Aggregate Report'!$A:$A,'Aggregate Report'!$F:$F)/1000</f>
        <v>0.20100000000000001</v>
      </c>
      <c r="H38" s="33">
        <f>_xlfn.XLOOKUP($A38,'Aggregate Report'!$A:$A,'Aggregate Report'!$G:$G)/1000</f>
        <v>0.90400000000000003</v>
      </c>
      <c r="I38" s="34">
        <f t="shared" si="2"/>
        <v>64</v>
      </c>
      <c r="J38" s="35">
        <f>'Aggregate Report'!J38 * B38</f>
        <v>0</v>
      </c>
    </row>
    <row r="39" spans="1:10" ht="15" customHeight="1" x14ac:dyDescent="0.35">
      <c r="A39" s="4" t="str">
        <f>'Aggregate Report'!A39</f>
        <v>51-getTailNo</v>
      </c>
      <c r="B39" s="32">
        <f>_xlfn.XLOOKUP($A39,'Aggregate Report'!$A:$A,'Aggregate Report'!$B:$B)</f>
        <v>64</v>
      </c>
      <c r="C39" s="33">
        <f>_xlfn.XLOOKUP($A39,'Aggregate Report'!$A:$A,'Aggregate Report'!$H:$H)/1000</f>
        <v>5.8999999999999997E-2</v>
      </c>
      <c r="D39" s="33">
        <f>_xlfn.XLOOKUP($A39,'Aggregate Report'!$A:$A,'Aggregate Report'!$C:$C)/1000</f>
        <v>0.11799999999999999</v>
      </c>
      <c r="E39" s="33">
        <f>_xlfn.XLOOKUP($A39,'Aggregate Report'!$A:$A,'Aggregate Report'!$I:$I)/1000</f>
        <v>0.29799999999999999</v>
      </c>
      <c r="F39" s="33">
        <f>_xlfn.XLOOKUP($A39,'Aggregate Report'!$A:$A,'Aggregate Report'!$E:$E)/1000</f>
        <v>0.16300000000000001</v>
      </c>
      <c r="G39" s="33">
        <f>_xlfn.XLOOKUP($A39,'Aggregate Report'!$A:$A,'Aggregate Report'!$F:$F)/1000</f>
        <v>0.22600000000000001</v>
      </c>
      <c r="H39" s="33">
        <f>_xlfn.XLOOKUP($A39,'Aggregate Report'!$A:$A,'Aggregate Report'!$G:$G)/1000</f>
        <v>0.253</v>
      </c>
      <c r="I39" s="34">
        <f t="shared" si="2"/>
        <v>64</v>
      </c>
      <c r="J39" s="35">
        <f>'Aggregate Report'!J39 * B39</f>
        <v>0</v>
      </c>
    </row>
    <row r="40" spans="1:10" ht="15" customHeight="1" x14ac:dyDescent="0.35">
      <c r="A40" s="4" t="str">
        <f>'Aggregate Report'!A40</f>
        <v>52-getFlightChart</v>
      </c>
      <c r="B40" s="32">
        <f>_xlfn.XLOOKUP($A40,'Aggregate Report'!$A:$A,'Aggregate Report'!$B:$B)</f>
        <v>64</v>
      </c>
      <c r="C40" s="33">
        <f>_xlfn.XLOOKUP($A40,'Aggregate Report'!$A:$A,'Aggregate Report'!$H:$H)/1000</f>
        <v>1.1359999999999999</v>
      </c>
      <c r="D40" s="33">
        <f>_xlfn.XLOOKUP($A40,'Aggregate Report'!$A:$A,'Aggregate Report'!$C:$C)/1000</f>
        <v>3.73</v>
      </c>
      <c r="E40" s="33">
        <f>_xlfn.XLOOKUP($A40,'Aggregate Report'!$A:$A,'Aggregate Report'!$I:$I)/1000</f>
        <v>10.226000000000001</v>
      </c>
      <c r="F40" s="33">
        <f>_xlfn.XLOOKUP($A40,'Aggregate Report'!$A:$A,'Aggregate Report'!$E:$E)/1000</f>
        <v>6.4290000000000003</v>
      </c>
      <c r="G40" s="33">
        <f>_xlfn.XLOOKUP($A40,'Aggregate Report'!$A:$A,'Aggregate Report'!$F:$F)/1000</f>
        <v>7.6989999999999998</v>
      </c>
      <c r="H40" s="33">
        <f>_xlfn.XLOOKUP($A40,'Aggregate Report'!$A:$A,'Aggregate Report'!$G:$G)/1000</f>
        <v>9.6950000000000003</v>
      </c>
      <c r="I40" s="34">
        <f t="shared" si="2"/>
        <v>64</v>
      </c>
      <c r="J40" s="35">
        <f>'Aggregate Report'!J40 * B40</f>
        <v>0</v>
      </c>
    </row>
    <row r="41" spans="1:10" ht="15" customHeight="1" x14ac:dyDescent="0.35">
      <c r="A41" s="4" t="str">
        <f>'Aggregate Report'!A41</f>
        <v>53-getAirCraftListMS</v>
      </c>
      <c r="B41" s="32">
        <f>_xlfn.XLOOKUP($A41,'Aggregate Report'!$A:$A,'Aggregate Report'!$B:$B)</f>
        <v>64</v>
      </c>
      <c r="C41" s="33">
        <f>_xlfn.XLOOKUP($A41,'Aggregate Report'!$A:$A,'Aggregate Report'!$H:$H)/1000</f>
        <v>5.8999999999999997E-2</v>
      </c>
      <c r="D41" s="33">
        <f>_xlfn.XLOOKUP($A41,'Aggregate Report'!$A:$A,'Aggregate Report'!$C:$C)/1000</f>
        <v>0.128</v>
      </c>
      <c r="E41" s="33">
        <f>_xlfn.XLOOKUP($A41,'Aggregate Report'!$A:$A,'Aggregate Report'!$I:$I)/1000</f>
        <v>0.4</v>
      </c>
      <c r="F41" s="33">
        <f>_xlfn.XLOOKUP($A41,'Aggregate Report'!$A:$A,'Aggregate Report'!$E:$E)/1000</f>
        <v>0.19</v>
      </c>
      <c r="G41" s="33">
        <f>_xlfn.XLOOKUP($A41,'Aggregate Report'!$A:$A,'Aggregate Report'!$F:$F)/1000</f>
        <v>0.21199999999999999</v>
      </c>
      <c r="H41" s="33">
        <f>_xlfn.XLOOKUP($A41,'Aggregate Report'!$A:$A,'Aggregate Report'!$G:$G)/1000</f>
        <v>0.27900000000000003</v>
      </c>
      <c r="I41" s="34">
        <f t="shared" si="2"/>
        <v>64</v>
      </c>
      <c r="J41" s="35">
        <f>'Aggregate Report'!J41 * B41</f>
        <v>0</v>
      </c>
    </row>
    <row r="42" spans="1:10" ht="15" customHeight="1" x14ac:dyDescent="0.35">
      <c r="A42" s="4" t="str">
        <f>'Aggregate Report'!A42</f>
        <v>54-get-all-notifications</v>
      </c>
      <c r="B42" s="32">
        <f>_xlfn.XLOOKUP($A42,'Aggregate Report'!$A:$A,'Aggregate Report'!$B:$B)</f>
        <v>64</v>
      </c>
      <c r="C42" s="33">
        <f>_xlfn.XLOOKUP($A42,'Aggregate Report'!$A:$A,'Aggregate Report'!$H:$H)/1000</f>
        <v>5.8999999999999997E-2</v>
      </c>
      <c r="D42" s="33">
        <f>_xlfn.XLOOKUP($A42,'Aggregate Report'!$A:$A,'Aggregate Report'!$C:$C)/1000</f>
        <v>0.13400000000000001</v>
      </c>
      <c r="E42" s="33">
        <f>_xlfn.XLOOKUP($A42,'Aggregate Report'!$A:$A,'Aggregate Report'!$I:$I)/1000</f>
        <v>0.47599999999999998</v>
      </c>
      <c r="F42" s="33">
        <f>_xlfn.XLOOKUP($A42,'Aggregate Report'!$A:$A,'Aggregate Report'!$E:$E)/1000</f>
        <v>0.20699999999999999</v>
      </c>
      <c r="G42" s="33">
        <f>_xlfn.XLOOKUP($A42,'Aggregate Report'!$A:$A,'Aggregate Report'!$F:$F)/1000</f>
        <v>0.219</v>
      </c>
      <c r="H42" s="33">
        <f>_xlfn.XLOOKUP($A42,'Aggregate Report'!$A:$A,'Aggregate Report'!$G:$G)/1000</f>
        <v>0.39</v>
      </c>
      <c r="I42" s="34">
        <f t="shared" si="2"/>
        <v>64</v>
      </c>
      <c r="J42" s="35">
        <f>'Aggregate Report'!J42 * B42</f>
        <v>0</v>
      </c>
    </row>
    <row r="43" spans="1:10" ht="15" customHeight="1" x14ac:dyDescent="0.35">
      <c r="A43" s="4" t="str">
        <f>'Aggregate Report'!A43</f>
        <v>55-getAction</v>
      </c>
      <c r="B43" s="32">
        <f>_xlfn.XLOOKUP($A43,'Aggregate Report'!$A:$A,'Aggregate Report'!$B:$B)</f>
        <v>64</v>
      </c>
      <c r="C43" s="33">
        <f>_xlfn.XLOOKUP($A43,'Aggregate Report'!$A:$A,'Aggregate Report'!$H:$H)/1000</f>
        <v>5.2999999999999999E-2</v>
      </c>
      <c r="D43" s="33">
        <f>_xlfn.XLOOKUP($A43,'Aggregate Report'!$A:$A,'Aggregate Report'!$C:$C)/1000</f>
        <v>0.12</v>
      </c>
      <c r="E43" s="33">
        <f>_xlfn.XLOOKUP($A43,'Aggregate Report'!$A:$A,'Aggregate Report'!$I:$I)/1000</f>
        <v>1.74</v>
      </c>
      <c r="F43" s="33">
        <f>_xlfn.XLOOKUP($A43,'Aggregate Report'!$A:$A,'Aggregate Report'!$E:$E)/1000</f>
        <v>0.13200000000000001</v>
      </c>
      <c r="G43" s="33">
        <f>_xlfn.XLOOKUP($A43,'Aggregate Report'!$A:$A,'Aggregate Report'!$F:$F)/1000</f>
        <v>0.17699999999999999</v>
      </c>
      <c r="H43" s="33">
        <f>_xlfn.XLOOKUP($A43,'Aggregate Report'!$A:$A,'Aggregate Report'!$G:$G)/1000</f>
        <v>0.46</v>
      </c>
      <c r="I43" s="34">
        <f t="shared" si="2"/>
        <v>64</v>
      </c>
      <c r="J43" s="35">
        <f>'Aggregate Report'!J43 * B43</f>
        <v>0</v>
      </c>
    </row>
    <row r="44" spans="1:10" ht="15" customHeight="1" x14ac:dyDescent="0.35">
      <c r="A44" s="4" t="str">
        <f>'Aggregate Report'!A44</f>
        <v>56-auto approval</v>
      </c>
      <c r="B44" s="32">
        <f>_xlfn.XLOOKUP($A44,'Aggregate Report'!$A:$A,'Aggregate Report'!$B:$B)</f>
        <v>64</v>
      </c>
      <c r="C44" s="33">
        <f>_xlfn.XLOOKUP($A44,'Aggregate Report'!$A:$A,'Aggregate Report'!$H:$H)/1000</f>
        <v>6.6000000000000003E-2</v>
      </c>
      <c r="D44" s="33">
        <f>_xlfn.XLOOKUP($A44,'Aggregate Report'!$A:$A,'Aggregate Report'!$C:$C)/1000</f>
        <v>0.153</v>
      </c>
      <c r="E44" s="33">
        <f>_xlfn.XLOOKUP($A44,'Aggregate Report'!$A:$A,'Aggregate Report'!$I:$I)/1000</f>
        <v>0.41599999999999998</v>
      </c>
      <c r="F44" s="33">
        <f>_xlfn.XLOOKUP($A44,'Aggregate Report'!$A:$A,'Aggregate Report'!$E:$E)/1000</f>
        <v>0.23699999999999999</v>
      </c>
      <c r="G44" s="33">
        <f>_xlfn.XLOOKUP($A44,'Aggregate Report'!$A:$A,'Aggregate Report'!$F:$F)/1000</f>
        <v>0.33900000000000002</v>
      </c>
      <c r="H44" s="33">
        <f>_xlfn.XLOOKUP($A44,'Aggregate Report'!$A:$A,'Aggregate Report'!$G:$G)/1000</f>
        <v>0.40300000000000002</v>
      </c>
      <c r="I44" s="34">
        <f t="shared" si="2"/>
        <v>64</v>
      </c>
      <c r="J44" s="35">
        <f>'Aggregate Report'!J44 * B44</f>
        <v>0</v>
      </c>
    </row>
    <row r="45" spans="1:10" ht="15" customHeight="1" x14ac:dyDescent="0.35">
      <c r="A45" s="4" t="str">
        <f>'Aggregate Report'!A45</f>
        <v>57-request approval</v>
      </c>
      <c r="B45" s="32">
        <f>_xlfn.XLOOKUP($A45,'Aggregate Report'!$A:$A,'Aggregate Report'!$B:$B)</f>
        <v>63</v>
      </c>
      <c r="C45" s="33">
        <f>_xlfn.XLOOKUP($A45,'Aggregate Report'!$A:$A,'Aggregate Report'!$H:$H)/1000</f>
        <v>6.8000000000000005E-2</v>
      </c>
      <c r="D45" s="33">
        <f>_xlfn.XLOOKUP($A45,'Aggregate Report'!$A:$A,'Aggregate Report'!$C:$C)/1000</f>
        <v>0.13200000000000001</v>
      </c>
      <c r="E45" s="33">
        <f>_xlfn.XLOOKUP($A45,'Aggregate Report'!$A:$A,'Aggregate Report'!$I:$I)/1000</f>
        <v>0.36099999999999999</v>
      </c>
      <c r="F45" s="33">
        <f>_xlfn.XLOOKUP($A45,'Aggregate Report'!$A:$A,'Aggregate Report'!$E:$E)/1000</f>
        <v>0.18</v>
      </c>
      <c r="G45" s="33">
        <f>_xlfn.XLOOKUP($A45,'Aggregate Report'!$A:$A,'Aggregate Report'!$F:$F)/1000</f>
        <v>0.223</v>
      </c>
      <c r="H45" s="33">
        <f>_xlfn.XLOOKUP($A45,'Aggregate Report'!$A:$A,'Aggregate Report'!$G:$G)/1000</f>
        <v>0.254</v>
      </c>
      <c r="I45" s="34">
        <f t="shared" si="2"/>
        <v>63</v>
      </c>
      <c r="J45" s="35">
        <f>'Aggregate Report'!J45 * B45</f>
        <v>0</v>
      </c>
    </row>
    <row r="46" spans="1:10" ht="15" customHeight="1" x14ac:dyDescent="0.35">
      <c r="A46" s="4" t="str">
        <f>'Aggregate Report'!A46</f>
        <v>58-engineering-request/getList</v>
      </c>
      <c r="B46" s="32">
        <f>_xlfn.XLOOKUP($A46,'Aggregate Report'!$A:$A,'Aggregate Report'!$B:$B)</f>
        <v>63</v>
      </c>
      <c r="C46" s="33">
        <f>_xlfn.XLOOKUP($A46,'Aggregate Report'!$A:$A,'Aggregate Report'!$H:$H)/1000</f>
        <v>6.2E-2</v>
      </c>
      <c r="D46" s="33">
        <f>_xlfn.XLOOKUP($A46,'Aggregate Report'!$A:$A,'Aggregate Report'!$C:$C)/1000</f>
        <v>0.126</v>
      </c>
      <c r="E46" s="33">
        <f>_xlfn.XLOOKUP($A46,'Aggregate Report'!$A:$A,'Aggregate Report'!$I:$I)/1000</f>
        <v>0.43099999999999999</v>
      </c>
      <c r="F46" s="33">
        <f>_xlfn.XLOOKUP($A46,'Aggregate Report'!$A:$A,'Aggregate Report'!$E:$E)/1000</f>
        <v>0.20599999999999999</v>
      </c>
      <c r="G46" s="33">
        <f>_xlfn.XLOOKUP($A46,'Aggregate Report'!$A:$A,'Aggregate Report'!$F:$F)/1000</f>
        <v>0.217</v>
      </c>
      <c r="H46" s="33">
        <f>_xlfn.XLOOKUP($A46,'Aggregate Report'!$A:$A,'Aggregate Report'!$G:$G)/1000</f>
        <v>0.308</v>
      </c>
      <c r="I46" s="34">
        <f t="shared" si="2"/>
        <v>63</v>
      </c>
      <c r="J46" s="35">
        <f>'Aggregate Report'!J46 * B46</f>
        <v>0</v>
      </c>
    </row>
    <row r="47" spans="1:10" ht="15" customHeight="1" x14ac:dyDescent="0.35">
      <c r="A47" s="4" t="str">
        <f>'Aggregate Report'!A47</f>
        <v>59-email-status</v>
      </c>
      <c r="B47" s="32">
        <f>_xlfn.XLOOKUP($A47,'Aggregate Report'!$A:$A,'Aggregate Report'!$B:$B)</f>
        <v>63</v>
      </c>
      <c r="C47" s="33">
        <f>_xlfn.XLOOKUP($A47,'Aggregate Report'!$A:$A,'Aggregate Report'!$H:$H)/1000</f>
        <v>5.5E-2</v>
      </c>
      <c r="D47" s="33">
        <f>_xlfn.XLOOKUP($A47,'Aggregate Report'!$A:$A,'Aggregate Report'!$C:$C)/1000</f>
        <v>8.8999999999999996E-2</v>
      </c>
      <c r="E47" s="33">
        <f>_xlfn.XLOOKUP($A47,'Aggregate Report'!$A:$A,'Aggregate Report'!$I:$I)/1000</f>
        <v>0.28100000000000003</v>
      </c>
      <c r="F47" s="33">
        <f>_xlfn.XLOOKUP($A47,'Aggregate Report'!$A:$A,'Aggregate Report'!$E:$E)/1000</f>
        <v>0.12</v>
      </c>
      <c r="G47" s="33">
        <f>_xlfn.XLOOKUP($A47,'Aggregate Report'!$A:$A,'Aggregate Report'!$F:$F)/1000</f>
        <v>0.14000000000000001</v>
      </c>
      <c r="H47" s="33">
        <f>_xlfn.XLOOKUP($A47,'Aggregate Report'!$A:$A,'Aggregate Report'!$G:$G)/1000</f>
        <v>0.23899999999999999</v>
      </c>
      <c r="I47" s="34">
        <f t="shared" si="2"/>
        <v>63</v>
      </c>
      <c r="J47" s="35">
        <f>'Aggregate Report'!J47 * B47</f>
        <v>0</v>
      </c>
    </row>
    <row r="48" spans="1:10" ht="15" customHeight="1" x14ac:dyDescent="0.35">
      <c r="A48" s="4" t="str">
        <f>'Aggregate Report'!A48</f>
        <v>60-notamManagerDashboard</v>
      </c>
      <c r="B48" s="32">
        <f>_xlfn.XLOOKUP($A48,'Aggregate Report'!$A:$A,'Aggregate Report'!$B:$B)</f>
        <v>63</v>
      </c>
      <c r="C48" s="33">
        <f>_xlfn.XLOOKUP($A48,'Aggregate Report'!$A:$A,'Aggregate Report'!$H:$H)/1000</f>
        <v>0.56999999999999995</v>
      </c>
      <c r="D48" s="33">
        <f>_xlfn.XLOOKUP($A48,'Aggregate Report'!$A:$A,'Aggregate Report'!$C:$C)/1000</f>
        <v>0.78800000000000003</v>
      </c>
      <c r="E48" s="33">
        <f>_xlfn.XLOOKUP($A48,'Aggregate Report'!$A:$A,'Aggregate Report'!$I:$I)/1000</f>
        <v>1.4390000000000001</v>
      </c>
      <c r="F48" s="33">
        <f>_xlfn.XLOOKUP($A48,'Aggregate Report'!$A:$A,'Aggregate Report'!$E:$E)/1000</f>
        <v>0.95899999999999996</v>
      </c>
      <c r="G48" s="33">
        <f>_xlfn.XLOOKUP($A48,'Aggregate Report'!$A:$A,'Aggregate Report'!$F:$F)/1000</f>
        <v>1.0069999999999999</v>
      </c>
      <c r="H48" s="33">
        <f>_xlfn.XLOOKUP($A48,'Aggregate Report'!$A:$A,'Aggregate Report'!$G:$G)/1000</f>
        <v>1.377</v>
      </c>
      <c r="I48" s="34">
        <f t="shared" si="2"/>
        <v>63</v>
      </c>
      <c r="J48" s="35">
        <f>'Aggregate Report'!J48 * B48</f>
        <v>0</v>
      </c>
    </row>
    <row r="49" spans="1:10" ht="15" customHeight="1" x14ac:dyDescent="0.35">
      <c r="A49" s="4" t="str">
        <f>'Aggregate Report'!A49</f>
        <v>61-notamManagerSend</v>
      </c>
      <c r="B49" s="32">
        <f>_xlfn.XLOOKUP($A49,'Aggregate Report'!$A:$A,'Aggregate Report'!$B:$B)</f>
        <v>63</v>
      </c>
      <c r="C49" s="33">
        <f>_xlfn.XLOOKUP($A49,'Aggregate Report'!$A:$A,'Aggregate Report'!$H:$H)/1000</f>
        <v>6.7000000000000004E-2</v>
      </c>
      <c r="D49" s="33">
        <f>_xlfn.XLOOKUP($A49,'Aggregate Report'!$A:$A,'Aggregate Report'!$C:$C)/1000</f>
        <v>0.13500000000000001</v>
      </c>
      <c r="E49" s="33">
        <f>_xlfn.XLOOKUP($A49,'Aggregate Report'!$A:$A,'Aggregate Report'!$I:$I)/1000</f>
        <v>0.24199999999999999</v>
      </c>
      <c r="F49" s="33">
        <f>_xlfn.XLOOKUP($A49,'Aggregate Report'!$A:$A,'Aggregate Report'!$E:$E)/1000</f>
        <v>0.19700000000000001</v>
      </c>
      <c r="G49" s="33">
        <f>_xlfn.XLOOKUP($A49,'Aggregate Report'!$A:$A,'Aggregate Report'!$F:$F)/1000</f>
        <v>0.23300000000000001</v>
      </c>
      <c r="H49" s="33">
        <f>_xlfn.XLOOKUP($A49,'Aggregate Report'!$A:$A,'Aggregate Report'!$G:$G)/1000</f>
        <v>0.23899999999999999</v>
      </c>
      <c r="I49" s="34">
        <f t="shared" si="2"/>
        <v>63</v>
      </c>
      <c r="J49" s="35">
        <f>'Aggregate Report'!J49 * B49</f>
        <v>0</v>
      </c>
    </row>
    <row r="50" spans="1:10" ht="15" customHeight="1" x14ac:dyDescent="0.35">
      <c r="A50" s="4" t="str">
        <f>'Aggregate Report'!A50</f>
        <v>62-notamManagerUdpate</v>
      </c>
      <c r="B50" s="32">
        <f>_xlfn.XLOOKUP($A50,'Aggregate Report'!$A:$A,'Aggregate Report'!$B:$B)</f>
        <v>63</v>
      </c>
      <c r="C50" s="33">
        <f>_xlfn.XLOOKUP($A50,'Aggregate Report'!$A:$A,'Aggregate Report'!$H:$H)/1000</f>
        <v>7.1999999999999995E-2</v>
      </c>
      <c r="D50" s="33">
        <f>_xlfn.XLOOKUP($A50,'Aggregate Report'!$A:$A,'Aggregate Report'!$C:$C)/1000</f>
        <v>0.17599999999999999</v>
      </c>
      <c r="E50" s="33">
        <f>_xlfn.XLOOKUP($A50,'Aggregate Report'!$A:$A,'Aggregate Report'!$I:$I)/1000</f>
        <v>2.036</v>
      </c>
      <c r="F50" s="33">
        <f>_xlfn.XLOOKUP($A50,'Aggregate Report'!$A:$A,'Aggregate Report'!$E:$E)/1000</f>
        <v>0.223</v>
      </c>
      <c r="G50" s="33">
        <f>_xlfn.XLOOKUP($A50,'Aggregate Report'!$A:$A,'Aggregate Report'!$F:$F)/1000</f>
        <v>0.30099999999999999</v>
      </c>
      <c r="H50" s="33">
        <f>_xlfn.XLOOKUP($A50,'Aggregate Report'!$A:$A,'Aggregate Report'!$G:$G)/1000</f>
        <v>0.39100000000000001</v>
      </c>
      <c r="I50" s="34">
        <f t="shared" si="2"/>
        <v>63</v>
      </c>
      <c r="J50" s="35">
        <f>'Aggregate Report'!J50 * B50</f>
        <v>0</v>
      </c>
    </row>
    <row r="51" spans="1:10" ht="15" customHeight="1" x14ac:dyDescent="0.35">
      <c r="A51" s="4" t="str">
        <f>'Aggregate Report'!A51</f>
        <v>63-notamManagerRead</v>
      </c>
      <c r="B51" s="32">
        <f>_xlfn.XLOOKUP($A51,'Aggregate Report'!$A:$A,'Aggregate Report'!$B:$B)</f>
        <v>63</v>
      </c>
      <c r="C51" s="33">
        <f>_xlfn.XLOOKUP($A51,'Aggregate Report'!$A:$A,'Aggregate Report'!$H:$H)/1000</f>
        <v>6.4000000000000001E-2</v>
      </c>
      <c r="D51" s="33">
        <f>_xlfn.XLOOKUP($A51,'Aggregate Report'!$A:$A,'Aggregate Report'!$C:$C)/1000</f>
        <v>0.14199999999999999</v>
      </c>
      <c r="E51" s="33">
        <f>_xlfn.XLOOKUP($A51,'Aggregate Report'!$A:$A,'Aggregate Report'!$I:$I)/1000</f>
        <v>0.40400000000000003</v>
      </c>
      <c r="F51" s="33">
        <f>_xlfn.XLOOKUP($A51,'Aggregate Report'!$A:$A,'Aggregate Report'!$E:$E)/1000</f>
        <v>0.23</v>
      </c>
      <c r="G51" s="33">
        <f>_xlfn.XLOOKUP($A51,'Aggregate Report'!$A:$A,'Aggregate Report'!$F:$F)/1000</f>
        <v>0.27100000000000002</v>
      </c>
      <c r="H51" s="33">
        <f>_xlfn.XLOOKUP($A51,'Aggregate Report'!$A:$A,'Aggregate Report'!$G:$G)/1000</f>
        <v>0.33300000000000002</v>
      </c>
      <c r="I51" s="34">
        <f t="shared" si="2"/>
        <v>63</v>
      </c>
      <c r="J51" s="35">
        <f>'Aggregate Report'!J51 * B51</f>
        <v>0</v>
      </c>
    </row>
    <row r="52" spans="1:10" ht="15" customHeight="1" x14ac:dyDescent="0.35">
      <c r="A52" s="4" t="str">
        <f>'Aggregate Report'!A52</f>
        <v>64-notamManagerDate</v>
      </c>
      <c r="B52" s="32">
        <f>_xlfn.XLOOKUP($A52,'Aggregate Report'!$A:$A,'Aggregate Report'!$B:$B)</f>
        <v>63</v>
      </c>
      <c r="C52" s="33">
        <f>_xlfn.XLOOKUP($A52,'Aggregate Report'!$A:$A,'Aggregate Report'!$H:$H)/1000</f>
        <v>0.85399999999999998</v>
      </c>
      <c r="D52" s="33">
        <f>_xlfn.XLOOKUP($A52,'Aggregate Report'!$A:$A,'Aggregate Report'!$C:$C)/1000</f>
        <v>0.96099999999999997</v>
      </c>
      <c r="E52" s="33">
        <f>_xlfn.XLOOKUP($A52,'Aggregate Report'!$A:$A,'Aggregate Report'!$I:$I)/1000</f>
        <v>1.2889999999999999</v>
      </c>
      <c r="F52" s="33">
        <f>_xlfn.XLOOKUP($A52,'Aggregate Report'!$A:$A,'Aggregate Report'!$E:$E)/1000</f>
        <v>1.109</v>
      </c>
      <c r="G52" s="33">
        <f>_xlfn.XLOOKUP($A52,'Aggregate Report'!$A:$A,'Aggregate Report'!$F:$F)/1000</f>
        <v>1.139</v>
      </c>
      <c r="H52" s="33">
        <f>_xlfn.XLOOKUP($A52,'Aggregate Report'!$A:$A,'Aggregate Report'!$G:$G)/1000</f>
        <v>1.1859999999999999</v>
      </c>
      <c r="I52" s="34">
        <f t="shared" si="2"/>
        <v>63</v>
      </c>
      <c r="J52" s="35">
        <f>'Aggregate Report'!J52 * B52</f>
        <v>0</v>
      </c>
    </row>
    <row r="53" spans="1:10" ht="15" customHeight="1" x14ac:dyDescent="0.35">
      <c r="A53" s="4" t="str">
        <f>'Aggregate Report'!A53</f>
        <v>65-notamManagerqCodes</v>
      </c>
      <c r="B53" s="32">
        <f>_xlfn.XLOOKUP($A53,'Aggregate Report'!$A:$A,'Aggregate Report'!$B:$B)</f>
        <v>63</v>
      </c>
      <c r="C53" s="33">
        <f>_xlfn.XLOOKUP($A53,'Aggregate Report'!$A:$A,'Aggregate Report'!$H:$H)/1000</f>
        <v>1.6040000000000001</v>
      </c>
      <c r="D53" s="33">
        <f>_xlfn.XLOOKUP($A53,'Aggregate Report'!$A:$A,'Aggregate Report'!$C:$C)/1000</f>
        <v>2.0870000000000002</v>
      </c>
      <c r="E53" s="33">
        <f>_xlfn.XLOOKUP($A53,'Aggregate Report'!$A:$A,'Aggregate Report'!$I:$I)/1000</f>
        <v>3.6760000000000002</v>
      </c>
      <c r="F53" s="33">
        <f>_xlfn.XLOOKUP($A53,'Aggregate Report'!$A:$A,'Aggregate Report'!$E:$E)/1000</f>
        <v>2.657</v>
      </c>
      <c r="G53" s="33">
        <f>_xlfn.XLOOKUP($A53,'Aggregate Report'!$A:$A,'Aggregate Report'!$F:$F)/1000</f>
        <v>2.9420000000000002</v>
      </c>
      <c r="H53" s="33">
        <f>_xlfn.XLOOKUP($A53,'Aggregate Report'!$A:$A,'Aggregate Report'!$G:$G)/1000</f>
        <v>3.4980000000000002</v>
      </c>
      <c r="I53" s="34">
        <f t="shared" si="2"/>
        <v>63</v>
      </c>
      <c r="J53" s="35">
        <f>'Aggregate Report'!J53 * B53</f>
        <v>0</v>
      </c>
    </row>
    <row r="54" spans="1:10" ht="15" customHeight="1" x14ac:dyDescent="0.35">
      <c r="A54" s="4" t="str">
        <f>'Aggregate Report'!A54</f>
        <v>66-NotamDailyReportDashboard</v>
      </c>
      <c r="B54" s="32">
        <f>_xlfn.XLOOKUP($A54,'Aggregate Report'!$A:$A,'Aggregate Report'!$B:$B)</f>
        <v>62</v>
      </c>
      <c r="C54" s="33">
        <f>_xlfn.XLOOKUP($A54,'Aggregate Report'!$A:$A,'Aggregate Report'!$H:$H)/1000</f>
        <v>3.8439999999999999</v>
      </c>
      <c r="D54" s="33">
        <f>_xlfn.XLOOKUP($A54,'Aggregate Report'!$A:$A,'Aggregate Report'!$C:$C)/1000</f>
        <v>4.29</v>
      </c>
      <c r="E54" s="33">
        <f>_xlfn.XLOOKUP($A54,'Aggregate Report'!$A:$A,'Aggregate Report'!$I:$I)/1000</f>
        <v>6.4180000000000001</v>
      </c>
      <c r="F54" s="33">
        <f>_xlfn.XLOOKUP($A54,'Aggregate Report'!$A:$A,'Aggregate Report'!$E:$E)/1000</f>
        <v>4.7039999999999997</v>
      </c>
      <c r="G54" s="33">
        <f>_xlfn.XLOOKUP($A54,'Aggregate Report'!$A:$A,'Aggregate Report'!$F:$F)/1000</f>
        <v>4.8339999999999996</v>
      </c>
      <c r="H54" s="33">
        <f>_xlfn.XLOOKUP($A54,'Aggregate Report'!$A:$A,'Aggregate Report'!$G:$G)/1000</f>
        <v>4.8550000000000004</v>
      </c>
      <c r="I54" s="34">
        <f t="shared" ref="I54:I71" si="3">B54-J54</f>
        <v>62</v>
      </c>
      <c r="J54" s="35">
        <f>'Aggregate Report'!J54 * B54</f>
        <v>0</v>
      </c>
    </row>
    <row r="55" spans="1:10" ht="15" customHeight="1" x14ac:dyDescent="0.35">
      <c r="A55" s="4" t="str">
        <f>'Aggregate Report'!A55</f>
        <v>67-NotamChecklistSave</v>
      </c>
      <c r="B55" s="32">
        <f>_xlfn.XLOOKUP($A55,'Aggregate Report'!$A:$A,'Aggregate Report'!$B:$B)</f>
        <v>62</v>
      </c>
      <c r="C55" s="33">
        <f>_xlfn.XLOOKUP($A55,'Aggregate Report'!$A:$A,'Aggregate Report'!$H:$H)/1000</f>
        <v>9.7000000000000003E-2</v>
      </c>
      <c r="D55" s="33">
        <f>_xlfn.XLOOKUP($A55,'Aggregate Report'!$A:$A,'Aggregate Report'!$C:$C)/1000</f>
        <v>0.20399999999999999</v>
      </c>
      <c r="E55" s="33">
        <f>_xlfn.XLOOKUP($A55,'Aggregate Report'!$A:$A,'Aggregate Report'!$I:$I)/1000</f>
        <v>0.78200000000000003</v>
      </c>
      <c r="F55" s="33">
        <f>_xlfn.XLOOKUP($A55,'Aggregate Report'!$A:$A,'Aggregate Report'!$E:$E)/1000</f>
        <v>0.316</v>
      </c>
      <c r="G55" s="33">
        <f>_xlfn.XLOOKUP($A55,'Aggregate Report'!$A:$A,'Aggregate Report'!$F:$F)/1000</f>
        <v>0.38900000000000001</v>
      </c>
      <c r="H55" s="33">
        <f>_xlfn.XLOOKUP($A55,'Aggregate Report'!$A:$A,'Aggregate Report'!$G:$G)/1000</f>
        <v>0.57099999999999995</v>
      </c>
      <c r="I55" s="34">
        <f t="shared" si="3"/>
        <v>62</v>
      </c>
      <c r="J55" s="35">
        <f>'Aggregate Report'!J55 * B55</f>
        <v>0</v>
      </c>
    </row>
    <row r="56" spans="1:10" ht="15" customHeight="1" x14ac:dyDescent="0.35">
      <c r="A56" s="4" t="str">
        <f>'Aggregate Report'!A56</f>
        <v>68-NotamChecklistDecode</v>
      </c>
      <c r="B56" s="32">
        <f>_xlfn.XLOOKUP($A56,'Aggregate Report'!$A:$A,'Aggregate Report'!$B:$B)</f>
        <v>62</v>
      </c>
      <c r="C56" s="33">
        <f>_xlfn.XLOOKUP($A56,'Aggregate Report'!$A:$A,'Aggregate Report'!$H:$H)/1000</f>
        <v>0.16</v>
      </c>
      <c r="D56" s="33">
        <f>_xlfn.XLOOKUP($A56,'Aggregate Report'!$A:$A,'Aggregate Report'!$C:$C)/1000</f>
        <v>1.113</v>
      </c>
      <c r="E56" s="33">
        <f>_xlfn.XLOOKUP($A56,'Aggregate Report'!$A:$A,'Aggregate Report'!$I:$I)/1000</f>
        <v>4.8339999999999996</v>
      </c>
      <c r="F56" s="33">
        <f>_xlfn.XLOOKUP($A56,'Aggregate Report'!$A:$A,'Aggregate Report'!$E:$E)/1000</f>
        <v>2.1150000000000002</v>
      </c>
      <c r="G56" s="33">
        <f>_xlfn.XLOOKUP($A56,'Aggregate Report'!$A:$A,'Aggregate Report'!$F:$F)/1000</f>
        <v>2.6459999999999999</v>
      </c>
      <c r="H56" s="33">
        <f>_xlfn.XLOOKUP($A56,'Aggregate Report'!$A:$A,'Aggregate Report'!$G:$G)/1000</f>
        <v>3.7029999999999998</v>
      </c>
      <c r="I56" s="34">
        <f t="shared" si="3"/>
        <v>62</v>
      </c>
      <c r="J56" s="35">
        <f>'Aggregate Report'!J56 * B56</f>
        <v>0</v>
      </c>
    </row>
    <row r="57" spans="1:10" ht="15" customHeight="1" x14ac:dyDescent="0.35">
      <c r="A57" s="4" t="str">
        <f>'Aggregate Report'!A57</f>
        <v>69-NotamChecklistGetSeries</v>
      </c>
      <c r="B57" s="32">
        <f>_xlfn.XLOOKUP($A57,'Aggregate Report'!$A:$A,'Aggregate Report'!$B:$B)</f>
        <v>62</v>
      </c>
      <c r="C57" s="33">
        <f>_xlfn.XLOOKUP($A57,'Aggregate Report'!$A:$A,'Aggregate Report'!$H:$H)/1000</f>
        <v>0.47799999999999998</v>
      </c>
      <c r="D57" s="33">
        <f>_xlfn.XLOOKUP($A57,'Aggregate Report'!$A:$A,'Aggregate Report'!$C:$C)/1000</f>
        <v>0.59699999999999998</v>
      </c>
      <c r="E57" s="33">
        <f>_xlfn.XLOOKUP($A57,'Aggregate Report'!$A:$A,'Aggregate Report'!$I:$I)/1000</f>
        <v>0.9</v>
      </c>
      <c r="F57" s="33">
        <f>_xlfn.XLOOKUP($A57,'Aggregate Report'!$A:$A,'Aggregate Report'!$E:$E)/1000</f>
        <v>0.71199999999999997</v>
      </c>
      <c r="G57" s="33">
        <f>_xlfn.XLOOKUP($A57,'Aggregate Report'!$A:$A,'Aggregate Report'!$F:$F)/1000</f>
        <v>0.73899999999999999</v>
      </c>
      <c r="H57" s="33">
        <f>_xlfn.XLOOKUP($A57,'Aggregate Report'!$A:$A,'Aggregate Report'!$G:$G)/1000</f>
        <v>0.77600000000000002</v>
      </c>
      <c r="I57" s="34">
        <f t="shared" si="3"/>
        <v>62</v>
      </c>
      <c r="J57" s="35">
        <f>'Aggregate Report'!J57 * B57</f>
        <v>0</v>
      </c>
    </row>
    <row r="58" spans="1:10" ht="15" customHeight="1" x14ac:dyDescent="0.35">
      <c r="A58" s="4" t="str">
        <f>'Aggregate Report'!A58</f>
        <v>70-NotamChecklistGetOriginator</v>
      </c>
      <c r="B58" s="32">
        <f>_xlfn.XLOOKUP($A58,'Aggregate Report'!$A:$A,'Aggregate Report'!$B:$B)</f>
        <v>62</v>
      </c>
      <c r="C58" s="33">
        <f>_xlfn.XLOOKUP($A58,'Aggregate Report'!$A:$A,'Aggregate Report'!$H:$H)/1000</f>
        <v>0.41499999999999998</v>
      </c>
      <c r="D58" s="33">
        <f>_xlfn.XLOOKUP($A58,'Aggregate Report'!$A:$A,'Aggregate Report'!$C:$C)/1000</f>
        <v>0.54500000000000004</v>
      </c>
      <c r="E58" s="33">
        <f>_xlfn.XLOOKUP($A58,'Aggregate Report'!$A:$A,'Aggregate Report'!$I:$I)/1000</f>
        <v>2.1920000000000002</v>
      </c>
      <c r="F58" s="33">
        <f>_xlfn.XLOOKUP($A58,'Aggregate Report'!$A:$A,'Aggregate Report'!$E:$E)/1000</f>
        <v>0.61899999999999999</v>
      </c>
      <c r="G58" s="33">
        <f>_xlfn.XLOOKUP($A58,'Aggregate Report'!$A:$A,'Aggregate Report'!$F:$F)/1000</f>
        <v>0.71699999999999997</v>
      </c>
      <c r="H58" s="33">
        <f>_xlfn.XLOOKUP($A58,'Aggregate Report'!$A:$A,'Aggregate Report'!$G:$G)/1000</f>
        <v>0.90900000000000003</v>
      </c>
      <c r="I58" s="34">
        <f t="shared" si="3"/>
        <v>62</v>
      </c>
      <c r="J58" s="35">
        <f>'Aggregate Report'!J58 * B58</f>
        <v>0</v>
      </c>
    </row>
    <row r="59" spans="1:10" ht="15" customHeight="1" x14ac:dyDescent="0.35">
      <c r="A59" s="4" t="str">
        <f>'Aggregate Report'!A59</f>
        <v>71-NotamChecklistGetMessage</v>
      </c>
      <c r="B59" s="32">
        <f>_xlfn.XLOOKUP($A59,'Aggregate Report'!$A:$A,'Aggregate Report'!$B:$B)</f>
        <v>62</v>
      </c>
      <c r="C59" s="33">
        <f>_xlfn.XLOOKUP($A59,'Aggregate Report'!$A:$A,'Aggregate Report'!$H:$H)/1000</f>
        <v>6.0999999999999999E-2</v>
      </c>
      <c r="D59" s="33">
        <f>_xlfn.XLOOKUP($A59,'Aggregate Report'!$A:$A,'Aggregate Report'!$C:$C)/1000</f>
        <v>0.14000000000000001</v>
      </c>
      <c r="E59" s="33">
        <f>_xlfn.XLOOKUP($A59,'Aggregate Report'!$A:$A,'Aggregate Report'!$I:$I)/1000</f>
        <v>2.3460000000000001</v>
      </c>
      <c r="F59" s="33">
        <f>_xlfn.XLOOKUP($A59,'Aggregate Report'!$A:$A,'Aggregate Report'!$E:$E)/1000</f>
        <v>0.13900000000000001</v>
      </c>
      <c r="G59" s="33">
        <f>_xlfn.XLOOKUP($A59,'Aggregate Report'!$A:$A,'Aggregate Report'!$F:$F)/1000</f>
        <v>0.151</v>
      </c>
      <c r="H59" s="33">
        <f>_xlfn.XLOOKUP($A59,'Aggregate Report'!$A:$A,'Aggregate Report'!$G:$G)/1000</f>
        <v>0.48299999999999998</v>
      </c>
      <c r="I59" s="34">
        <f t="shared" si="3"/>
        <v>62</v>
      </c>
      <c r="J59" s="35">
        <f>'Aggregate Report'!J59 * B59</f>
        <v>0</v>
      </c>
    </row>
    <row r="60" spans="1:10" ht="15" customHeight="1" x14ac:dyDescent="0.35">
      <c r="A60" s="4" t="str">
        <f>'Aggregate Report'!A60</f>
        <v>72-NotamAdvanceGetNotamList</v>
      </c>
      <c r="B60" s="32">
        <f>_xlfn.XLOOKUP($A60,'Aggregate Report'!$A:$A,'Aggregate Report'!$B:$B)</f>
        <v>62</v>
      </c>
      <c r="C60" s="33">
        <f>_xlfn.XLOOKUP($A60,'Aggregate Report'!$A:$A,'Aggregate Report'!$H:$H)/1000</f>
        <v>0.46899999999999997</v>
      </c>
      <c r="D60" s="33">
        <f>_xlfn.XLOOKUP($A60,'Aggregate Report'!$A:$A,'Aggregate Report'!$C:$C)/1000</f>
        <v>0.622</v>
      </c>
      <c r="E60" s="33">
        <f>_xlfn.XLOOKUP($A60,'Aggregate Report'!$A:$A,'Aggregate Report'!$I:$I)/1000</f>
        <v>1.0569999999999999</v>
      </c>
      <c r="F60" s="33">
        <f>_xlfn.XLOOKUP($A60,'Aggregate Report'!$A:$A,'Aggregate Report'!$E:$E)/1000</f>
        <v>0.78400000000000003</v>
      </c>
      <c r="G60" s="33">
        <f>_xlfn.XLOOKUP($A60,'Aggregate Report'!$A:$A,'Aggregate Report'!$F:$F)/1000</f>
        <v>0.88500000000000001</v>
      </c>
      <c r="H60" s="33">
        <f>_xlfn.XLOOKUP($A60,'Aggregate Report'!$A:$A,'Aggregate Report'!$G:$G)/1000</f>
        <v>0.98799999999999999</v>
      </c>
      <c r="I60" s="34">
        <f t="shared" si="3"/>
        <v>62</v>
      </c>
      <c r="J60" s="35">
        <f>'Aggregate Report'!J60 * B60</f>
        <v>0</v>
      </c>
    </row>
    <row r="61" spans="1:10" ht="15" customHeight="1" x14ac:dyDescent="0.35">
      <c r="A61" s="4" t="str">
        <f>'Aggregate Report'!A61</f>
        <v>73-CateringManager_flights</v>
      </c>
      <c r="B61" s="32">
        <f>_xlfn.XLOOKUP($A61,'Aggregate Report'!$A:$A,'Aggregate Report'!$B:$B)</f>
        <v>247</v>
      </c>
      <c r="C61" s="33">
        <f>_xlfn.XLOOKUP($A61,'Aggregate Report'!$A:$A,'Aggregate Report'!$H:$H)/1000</f>
        <v>0.27</v>
      </c>
      <c r="D61" s="33">
        <f>_xlfn.XLOOKUP($A61,'Aggregate Report'!$A:$A,'Aggregate Report'!$C:$C)/1000</f>
        <v>0.54300000000000004</v>
      </c>
      <c r="E61" s="33">
        <f>_xlfn.XLOOKUP($A61,'Aggregate Report'!$A:$A,'Aggregate Report'!$I:$I)/1000</f>
        <v>3.032</v>
      </c>
      <c r="F61" s="33">
        <f>_xlfn.XLOOKUP($A61,'Aggregate Report'!$A:$A,'Aggregate Report'!$E:$E)/1000</f>
        <v>0.74199999999999999</v>
      </c>
      <c r="G61" s="33">
        <f>_xlfn.XLOOKUP($A61,'Aggregate Report'!$A:$A,'Aggregate Report'!$F:$F)/1000</f>
        <v>0.89200000000000002</v>
      </c>
      <c r="H61" s="33">
        <f>_xlfn.XLOOKUP($A61,'Aggregate Report'!$A:$A,'Aggregate Report'!$G:$G)/1000</f>
        <v>1.7709999999999999</v>
      </c>
      <c r="I61" s="34">
        <f t="shared" si="3"/>
        <v>247</v>
      </c>
      <c r="J61" s="35">
        <f>'Aggregate Report'!J61 * B61</f>
        <v>0</v>
      </c>
    </row>
    <row r="62" spans="1:10" ht="15" customHeight="1" x14ac:dyDescent="0.35">
      <c r="A62" s="4" t="str">
        <f>'Aggregate Report'!A62</f>
        <v>74-CateringManager_DiningHistory</v>
      </c>
      <c r="B62" s="32">
        <f>_xlfn.XLOOKUP($A62,'Aggregate Report'!$A:$A,'Aggregate Report'!$B:$B)</f>
        <v>247</v>
      </c>
      <c r="C62" s="33">
        <f>_xlfn.XLOOKUP($A62,'Aggregate Report'!$A:$A,'Aggregate Report'!$H:$H)/1000</f>
        <v>5.1999999999999998E-2</v>
      </c>
      <c r="D62" s="33">
        <f>_xlfn.XLOOKUP($A62,'Aggregate Report'!$A:$A,'Aggregate Report'!$C:$C)/1000</f>
        <v>9.4E-2</v>
      </c>
      <c r="E62" s="33">
        <f>_xlfn.XLOOKUP($A62,'Aggregate Report'!$A:$A,'Aggregate Report'!$I:$I)/1000</f>
        <v>2.4390000000000001</v>
      </c>
      <c r="F62" s="33">
        <f>_xlfn.XLOOKUP($A62,'Aggregate Report'!$A:$A,'Aggregate Report'!$E:$E)/1000</f>
        <v>0.11700000000000001</v>
      </c>
      <c r="G62" s="33">
        <f>_xlfn.XLOOKUP($A62,'Aggregate Report'!$A:$A,'Aggregate Report'!$F:$F)/1000</f>
        <v>0.16500000000000001</v>
      </c>
      <c r="H62" s="33">
        <f>_xlfn.XLOOKUP($A62,'Aggregate Report'!$A:$A,'Aggregate Report'!$G:$G)/1000</f>
        <v>0.26300000000000001</v>
      </c>
      <c r="I62" s="34">
        <f t="shared" si="3"/>
        <v>247</v>
      </c>
      <c r="J62" s="35">
        <f>'Aggregate Report'!J62 * B62</f>
        <v>0</v>
      </c>
    </row>
    <row r="63" spans="1:10" ht="15" customHeight="1" x14ac:dyDescent="0.35">
      <c r="A63" s="4" t="str">
        <f>'Aggregate Report'!A63</f>
        <v>75-CateringManager_Meals</v>
      </c>
      <c r="B63" s="32">
        <f>_xlfn.XLOOKUP($A63,'Aggregate Report'!$A:$A,'Aggregate Report'!$B:$B)</f>
        <v>247</v>
      </c>
      <c r="C63" s="33">
        <f>_xlfn.XLOOKUP($A63,'Aggregate Report'!$A:$A,'Aggregate Report'!$H:$H)/1000</f>
        <v>0.115</v>
      </c>
      <c r="D63" s="33">
        <f>_xlfn.XLOOKUP($A63,'Aggregate Report'!$A:$A,'Aggregate Report'!$C:$C)/1000</f>
        <v>0.26200000000000001</v>
      </c>
      <c r="E63" s="33">
        <f>_xlfn.XLOOKUP($A63,'Aggregate Report'!$A:$A,'Aggregate Report'!$I:$I)/1000</f>
        <v>1.8979999999999999</v>
      </c>
      <c r="F63" s="33">
        <f>_xlfn.XLOOKUP($A63,'Aggregate Report'!$A:$A,'Aggregate Report'!$E:$E)/1000</f>
        <v>0.39300000000000002</v>
      </c>
      <c r="G63" s="33">
        <f>_xlfn.XLOOKUP($A63,'Aggregate Report'!$A:$A,'Aggregate Report'!$F:$F)/1000</f>
        <v>0.443</v>
      </c>
      <c r="H63" s="33">
        <f>_xlfn.XLOOKUP($A63,'Aggregate Report'!$A:$A,'Aggregate Report'!$G:$G)/1000</f>
        <v>0.79900000000000004</v>
      </c>
      <c r="I63" s="34">
        <f t="shared" si="3"/>
        <v>247</v>
      </c>
      <c r="J63" s="35">
        <f>'Aggregate Report'!J63 * B63</f>
        <v>0</v>
      </c>
    </row>
    <row r="64" spans="1:10" ht="15" customHeight="1" x14ac:dyDescent="0.35">
      <c r="A64" s="4" t="str">
        <f>'Aggregate Report'!A64</f>
        <v>76-CateringManager_getFlightsForTail</v>
      </c>
      <c r="B64" s="32">
        <f>_xlfn.XLOOKUP($A64,'Aggregate Report'!$A:$A,'Aggregate Report'!$B:$B)</f>
        <v>247</v>
      </c>
      <c r="C64" s="33">
        <f>_xlfn.XLOOKUP($A64,'Aggregate Report'!$A:$A,'Aggregate Report'!$H:$H)/1000</f>
        <v>5.1999999999999998E-2</v>
      </c>
      <c r="D64" s="33">
        <f>_xlfn.XLOOKUP($A64,'Aggregate Report'!$A:$A,'Aggregate Report'!$C:$C)/1000</f>
        <v>0.10100000000000001</v>
      </c>
      <c r="E64" s="33">
        <f>_xlfn.XLOOKUP($A64,'Aggregate Report'!$A:$A,'Aggregate Report'!$I:$I)/1000</f>
        <v>2.0609999999999999</v>
      </c>
      <c r="F64" s="33">
        <f>_xlfn.XLOOKUP($A64,'Aggregate Report'!$A:$A,'Aggregate Report'!$E:$E)/1000</f>
        <v>0.123</v>
      </c>
      <c r="G64" s="33">
        <f>_xlfn.XLOOKUP($A64,'Aggregate Report'!$A:$A,'Aggregate Report'!$F:$F)/1000</f>
        <v>0.16</v>
      </c>
      <c r="H64" s="33">
        <f>_xlfn.XLOOKUP($A64,'Aggregate Report'!$A:$A,'Aggregate Report'!$G:$G)/1000</f>
        <v>0.72699999999999998</v>
      </c>
      <c r="I64" s="34">
        <f t="shared" si="3"/>
        <v>247</v>
      </c>
      <c r="J64" s="35">
        <f>'Aggregate Report'!J64 * B64</f>
        <v>0</v>
      </c>
    </row>
    <row r="65" spans="1:10" ht="15" customHeight="1" x14ac:dyDescent="0.35">
      <c r="A65" s="4" t="str">
        <f>'Aggregate Report'!A65</f>
        <v>77-CateringManager_getChangeHistory</v>
      </c>
      <c r="B65" s="32">
        <f>_xlfn.XLOOKUP($A65,'Aggregate Report'!$A:$A,'Aggregate Report'!$B:$B)</f>
        <v>247</v>
      </c>
      <c r="C65" s="33">
        <f>_xlfn.XLOOKUP($A65,'Aggregate Report'!$A:$A,'Aggregate Report'!$H:$H)/1000</f>
        <v>0.11600000000000001</v>
      </c>
      <c r="D65" s="33">
        <f>_xlfn.XLOOKUP($A65,'Aggregate Report'!$A:$A,'Aggregate Report'!$C:$C)/1000</f>
        <v>0.19600000000000001</v>
      </c>
      <c r="E65" s="33">
        <f>_xlfn.XLOOKUP($A65,'Aggregate Report'!$A:$A,'Aggregate Report'!$I:$I)/1000</f>
        <v>0.96299999999999997</v>
      </c>
      <c r="F65" s="33">
        <f>_xlfn.XLOOKUP($A65,'Aggregate Report'!$A:$A,'Aggregate Report'!$E:$E)/1000</f>
        <v>0.29599999999999999</v>
      </c>
      <c r="G65" s="33">
        <f>_xlfn.XLOOKUP($A65,'Aggregate Report'!$A:$A,'Aggregate Report'!$F:$F)/1000</f>
        <v>0.36199999999999999</v>
      </c>
      <c r="H65" s="33">
        <f>_xlfn.XLOOKUP($A65,'Aggregate Report'!$A:$A,'Aggregate Report'!$G:$G)/1000</f>
        <v>0.47299999999999998</v>
      </c>
      <c r="I65" s="34">
        <f t="shared" si="3"/>
        <v>247</v>
      </c>
      <c r="J65" s="35">
        <f>'Aggregate Report'!J65 * B65</f>
        <v>0</v>
      </c>
    </row>
    <row r="66" spans="1:10" ht="15" customHeight="1" x14ac:dyDescent="0.35">
      <c r="A66" s="4" t="str">
        <f>'Aggregate Report'!A66</f>
        <v>78-CateringManager_pinFlight</v>
      </c>
      <c r="B66" s="32">
        <f>_xlfn.XLOOKUP($A66,'Aggregate Report'!$A:$A,'Aggregate Report'!$B:$B)</f>
        <v>247</v>
      </c>
      <c r="C66" s="33">
        <f>_xlfn.XLOOKUP($A66,'Aggregate Report'!$A:$A,'Aggregate Report'!$H:$H)/1000</f>
        <v>5.3999999999999999E-2</v>
      </c>
      <c r="D66" s="33">
        <f>_xlfn.XLOOKUP($A66,'Aggregate Report'!$A:$A,'Aggregate Report'!$C:$C)/1000</f>
        <v>0.10299999999999999</v>
      </c>
      <c r="E66" s="33">
        <f>_xlfn.XLOOKUP($A66,'Aggregate Report'!$A:$A,'Aggregate Report'!$I:$I)/1000</f>
        <v>2.536</v>
      </c>
      <c r="F66" s="33">
        <f>_xlfn.XLOOKUP($A66,'Aggregate Report'!$A:$A,'Aggregate Report'!$E:$E)/1000</f>
        <v>0.11899999999999999</v>
      </c>
      <c r="G66" s="33">
        <f>_xlfn.XLOOKUP($A66,'Aggregate Report'!$A:$A,'Aggregate Report'!$F:$F)/1000</f>
        <v>0.14699999999999999</v>
      </c>
      <c r="H66" s="33">
        <f>_xlfn.XLOOKUP($A66,'Aggregate Report'!$A:$A,'Aggregate Report'!$G:$G)/1000</f>
        <v>0.53100000000000003</v>
      </c>
      <c r="I66" s="34">
        <f t="shared" si="3"/>
        <v>181.99948000000001</v>
      </c>
      <c r="J66" s="35">
        <f>'Aggregate Report'!J66 * B66</f>
        <v>65.000519999999995</v>
      </c>
    </row>
    <row r="67" spans="1:10" ht="15" customHeight="1" x14ac:dyDescent="0.35">
      <c r="A67" s="4" t="str">
        <f>'Aggregate Report'!A67</f>
        <v>79-CateringManager_update-stn-ctr-code</v>
      </c>
      <c r="B67" s="32">
        <f>_xlfn.XLOOKUP($A67,'Aggregate Report'!$A:$A,'Aggregate Report'!$B:$B)</f>
        <v>247</v>
      </c>
      <c r="C67" s="33">
        <f>_xlfn.XLOOKUP($A67,'Aggregate Report'!$A:$A,'Aggregate Report'!$H:$H)/1000</f>
        <v>5.6000000000000001E-2</v>
      </c>
      <c r="D67" s="33">
        <f>_xlfn.XLOOKUP($A67,'Aggregate Report'!$A:$A,'Aggregate Report'!$C:$C)/1000</f>
        <v>0.13</v>
      </c>
      <c r="E67" s="33">
        <f>_xlfn.XLOOKUP($A67,'Aggregate Report'!$A:$A,'Aggregate Report'!$I:$I)/1000</f>
        <v>0.95299999999999996</v>
      </c>
      <c r="F67" s="33">
        <f>_xlfn.XLOOKUP($A67,'Aggregate Report'!$A:$A,'Aggregate Report'!$E:$E)/1000</f>
        <v>0.20899999999999999</v>
      </c>
      <c r="G67" s="33">
        <f>_xlfn.XLOOKUP($A67,'Aggregate Report'!$A:$A,'Aggregate Report'!$F:$F)/1000</f>
        <v>0.33300000000000002</v>
      </c>
      <c r="H67" s="33">
        <f>_xlfn.XLOOKUP($A67,'Aggregate Report'!$A:$A,'Aggregate Report'!$G:$G)/1000</f>
        <v>0.57799999999999996</v>
      </c>
      <c r="I67" s="34">
        <f t="shared" si="3"/>
        <v>247</v>
      </c>
      <c r="J67" s="35">
        <f>'Aggregate Report'!J67 * B67</f>
        <v>0</v>
      </c>
    </row>
    <row r="68" spans="1:10" ht="15" customHeight="1" x14ac:dyDescent="0.35">
      <c r="A68" s="4" t="str">
        <f>'Aggregate Report'!A68</f>
        <v>80-CateringManager_download-report</v>
      </c>
      <c r="B68" s="32">
        <f>_xlfn.XLOOKUP($A68,'Aggregate Report'!$A:$A,'Aggregate Report'!$B:$B)</f>
        <v>247</v>
      </c>
      <c r="C68" s="33">
        <f>_xlfn.XLOOKUP($A68,'Aggregate Report'!$A:$A,'Aggregate Report'!$H:$H)/1000</f>
        <v>0.64700000000000002</v>
      </c>
      <c r="D68" s="33">
        <f>_xlfn.XLOOKUP($A68,'Aggregate Report'!$A:$A,'Aggregate Report'!$C:$C)/1000</f>
        <v>0.996</v>
      </c>
      <c r="E68" s="33">
        <f>_xlfn.XLOOKUP($A68,'Aggregate Report'!$A:$A,'Aggregate Report'!$I:$I)/1000</f>
        <v>3.4260000000000002</v>
      </c>
      <c r="F68" s="33">
        <f>_xlfn.XLOOKUP($A68,'Aggregate Report'!$A:$A,'Aggregate Report'!$E:$E)/1000</f>
        <v>1.351</v>
      </c>
      <c r="G68" s="33">
        <f>_xlfn.XLOOKUP($A68,'Aggregate Report'!$A:$A,'Aggregate Report'!$F:$F)/1000</f>
        <v>1.514</v>
      </c>
      <c r="H68" s="33">
        <f>_xlfn.XLOOKUP($A68,'Aggregate Report'!$A:$A,'Aggregate Report'!$G:$G)/1000</f>
        <v>2.8460000000000001</v>
      </c>
      <c r="I68" s="34">
        <f t="shared" si="3"/>
        <v>247</v>
      </c>
      <c r="J68" s="35">
        <f>'Aggregate Report'!J68 * B68</f>
        <v>0</v>
      </c>
    </row>
    <row r="69" spans="1:10" ht="15" customHeight="1" x14ac:dyDescent="0.35">
      <c r="A69" s="4" t="str">
        <f>'Aggregate Report'!A69</f>
        <v>81-CateringManager_update-catering-details</v>
      </c>
      <c r="B69" s="32">
        <f>_xlfn.XLOOKUP($A69,'Aggregate Report'!$A:$A,'Aggregate Report'!$B:$B)</f>
        <v>247</v>
      </c>
      <c r="C69" s="33">
        <f>_xlfn.XLOOKUP($A69,'Aggregate Report'!$A:$A,'Aggregate Report'!$H:$H)/1000</f>
        <v>5.8999999999999997E-2</v>
      </c>
      <c r="D69" s="33">
        <f>_xlfn.XLOOKUP($A69,'Aggregate Report'!$A:$A,'Aggregate Report'!$C:$C)/1000</f>
        <v>9.7000000000000003E-2</v>
      </c>
      <c r="E69" s="33">
        <f>_xlfn.XLOOKUP($A69,'Aggregate Report'!$A:$A,'Aggregate Report'!$I:$I)/1000</f>
        <v>0.60399999999999998</v>
      </c>
      <c r="F69" s="33">
        <f>_xlfn.XLOOKUP($A69,'Aggregate Report'!$A:$A,'Aggregate Report'!$E:$E)/1000</f>
        <v>0.13100000000000001</v>
      </c>
      <c r="G69" s="33">
        <f>_xlfn.XLOOKUP($A69,'Aggregate Report'!$A:$A,'Aggregate Report'!$F:$F)/1000</f>
        <v>0.16500000000000001</v>
      </c>
      <c r="H69" s="33">
        <f>_xlfn.XLOOKUP($A69,'Aggregate Report'!$A:$A,'Aggregate Report'!$G:$G)/1000</f>
        <v>0.26700000000000002</v>
      </c>
      <c r="I69" s="34">
        <f t="shared" si="3"/>
        <v>247</v>
      </c>
      <c r="J69" s="35">
        <f>'Aggregate Report'!J69 * B69</f>
        <v>0</v>
      </c>
    </row>
    <row r="70" spans="1:10" ht="15" customHeight="1" x14ac:dyDescent="0.35">
      <c r="A70" s="4" t="str">
        <f>'Aggregate Report'!A70</f>
        <v>82-CateringManager_Dining_Download</v>
      </c>
      <c r="B70" s="32">
        <f>_xlfn.XLOOKUP($A70,'Aggregate Report'!$A:$A,'Aggregate Report'!$B:$B)</f>
        <v>247</v>
      </c>
      <c r="C70" s="33">
        <f>_xlfn.XLOOKUP($A70,'Aggregate Report'!$A:$A,'Aggregate Report'!$H:$H)/1000</f>
        <v>6.4000000000000001E-2</v>
      </c>
      <c r="D70" s="33">
        <f>_xlfn.XLOOKUP($A70,'Aggregate Report'!$A:$A,'Aggregate Report'!$C:$C)/1000</f>
        <v>0.11899999999999999</v>
      </c>
      <c r="E70" s="33">
        <f>_xlfn.XLOOKUP($A70,'Aggregate Report'!$A:$A,'Aggregate Report'!$I:$I)/1000</f>
        <v>2.6779999999999999</v>
      </c>
      <c r="F70" s="33">
        <f>_xlfn.XLOOKUP($A70,'Aggregate Report'!$A:$A,'Aggregate Report'!$E:$E)/1000</f>
        <v>0.153</v>
      </c>
      <c r="G70" s="33">
        <f>_xlfn.XLOOKUP($A70,'Aggregate Report'!$A:$A,'Aggregate Report'!$F:$F)/1000</f>
        <v>0.19400000000000001</v>
      </c>
      <c r="H70" s="33">
        <f>_xlfn.XLOOKUP($A70,'Aggregate Report'!$A:$A,'Aggregate Report'!$G:$G)/1000</f>
        <v>0.495</v>
      </c>
      <c r="I70" s="34">
        <f t="shared" si="3"/>
        <v>247</v>
      </c>
      <c r="J70" s="35">
        <f>'Aggregate Report'!J70 * B70</f>
        <v>0</v>
      </c>
    </row>
    <row r="71" spans="1:10" ht="15" customHeight="1" thickBot="1" x14ac:dyDescent="0.4">
      <c r="A71" s="4" t="str">
        <f>'Aggregate Report'!A71</f>
        <v>83-CateringManager_Upload_Schedule</v>
      </c>
      <c r="B71" s="32">
        <f>_xlfn.XLOOKUP($A71,'Aggregate Report'!$A:$A,'Aggregate Report'!$B:$B)</f>
        <v>246</v>
      </c>
      <c r="C71" s="33">
        <f>_xlfn.XLOOKUP($A71,'Aggregate Report'!$A:$A,'Aggregate Report'!$H:$H)/1000</f>
        <v>0.1</v>
      </c>
      <c r="D71" s="33">
        <f>_xlfn.XLOOKUP($A71,'Aggregate Report'!$A:$A,'Aggregate Report'!$C:$C)/1000</f>
        <v>0.16900000000000001</v>
      </c>
      <c r="E71" s="33">
        <f>_xlfn.XLOOKUP($A71,'Aggregate Report'!$A:$A,'Aggregate Report'!$I:$I)/1000</f>
        <v>1.99</v>
      </c>
      <c r="F71" s="33">
        <f>_xlfn.XLOOKUP($A71,'Aggregate Report'!$A:$A,'Aggregate Report'!$E:$E)/1000</f>
        <v>0.20899999999999999</v>
      </c>
      <c r="G71" s="33">
        <f>_xlfn.XLOOKUP($A71,'Aggregate Report'!$A:$A,'Aggregate Report'!$F:$F)/1000</f>
        <v>0.28399999999999997</v>
      </c>
      <c r="H71" s="33">
        <f>_xlfn.XLOOKUP($A71,'Aggregate Report'!$A:$A,'Aggregate Report'!$G:$G)/1000</f>
        <v>0.48</v>
      </c>
      <c r="I71" s="34">
        <f t="shared" si="3"/>
        <v>246</v>
      </c>
      <c r="J71" s="35">
        <f>'Aggregate Report'!J71 * B71</f>
        <v>0</v>
      </c>
    </row>
    <row r="72" spans="1:10" ht="15" customHeight="1" thickBot="1" x14ac:dyDescent="0.4">
      <c r="A72" s="27" t="s">
        <v>27</v>
      </c>
      <c r="B72" s="28">
        <f>SUBTOTAL(109,Table_1['#Samples])</f>
        <v>26307</v>
      </c>
      <c r="C72" s="29"/>
      <c r="D72" s="29"/>
      <c r="E72" s="29"/>
      <c r="F72" s="29"/>
      <c r="G72" s="29"/>
      <c r="H72" s="29"/>
      <c r="I72" s="30">
        <f>SUBTOTAL(109,Table_1[Pass])</f>
        <v>24904.998909999998</v>
      </c>
      <c r="J72" s="31">
        <f>SUBTOTAL(109,Table_1[Fail])</f>
        <v>1402.00109</v>
      </c>
    </row>
    <row r="73" spans="1:10" ht="15" customHeight="1" x14ac:dyDescent="0.35">
      <c r="B73" s="20"/>
      <c r="I73" s="20"/>
      <c r="J73" s="20"/>
    </row>
    <row r="74" spans="1:10" ht="15" customHeight="1" x14ac:dyDescent="0.35">
      <c r="B74" s="20"/>
      <c r="I74" s="20"/>
      <c r="J74" s="20"/>
    </row>
    <row r="75" spans="1:10" ht="15" customHeight="1" x14ac:dyDescent="0.35">
      <c r="B75" s="20"/>
      <c r="I75" s="20"/>
      <c r="J75" s="20"/>
    </row>
    <row r="76" spans="1:10" ht="15" customHeight="1" x14ac:dyDescent="0.35">
      <c r="B76" s="20"/>
      <c r="I76" s="20"/>
      <c r="J76" s="20"/>
    </row>
    <row r="77" spans="1:10" ht="15" customHeight="1" x14ac:dyDescent="0.35">
      <c r="B77" s="20"/>
      <c r="I77" s="20"/>
      <c r="J77" s="20"/>
    </row>
    <row r="78" spans="1:10" ht="15" customHeight="1" x14ac:dyDescent="0.35">
      <c r="B78" s="20"/>
      <c r="I78" s="20"/>
      <c r="J78" s="20"/>
    </row>
    <row r="79" spans="1:10" ht="15" customHeight="1" x14ac:dyDescent="0.35">
      <c r="B79" s="20"/>
      <c r="I79" s="20"/>
      <c r="J79" s="20"/>
    </row>
    <row r="80" spans="1:10" ht="15" customHeight="1" x14ac:dyDescent="0.35">
      <c r="B80" s="20"/>
      <c r="I80" s="20"/>
      <c r="J80" s="20"/>
    </row>
    <row r="81" spans="2:10" ht="15" customHeight="1" x14ac:dyDescent="0.35">
      <c r="B81" s="20"/>
      <c r="I81" s="20"/>
      <c r="J81" s="20"/>
    </row>
    <row r="82" spans="2:10" ht="15" customHeight="1" x14ac:dyDescent="0.35">
      <c r="B82" s="20"/>
      <c r="I82" s="20"/>
      <c r="J82" s="20"/>
    </row>
    <row r="83" spans="2:10" ht="15" customHeight="1" x14ac:dyDescent="0.35">
      <c r="B83" s="20"/>
      <c r="I83" s="20"/>
      <c r="J83" s="20"/>
    </row>
    <row r="84" spans="2:10" ht="15" customHeight="1" x14ac:dyDescent="0.35">
      <c r="B84" s="20"/>
      <c r="I84" s="20"/>
      <c r="J84" s="20"/>
    </row>
    <row r="85" spans="2:10" ht="15" customHeight="1" x14ac:dyDescent="0.35">
      <c r="B85" s="20"/>
      <c r="I85" s="20"/>
      <c r="J85" s="20"/>
    </row>
    <row r="86" spans="2:10" ht="15" customHeight="1" x14ac:dyDescent="0.35">
      <c r="B86" s="20"/>
      <c r="I86" s="20"/>
      <c r="J86" s="20"/>
    </row>
    <row r="87" spans="2:10" ht="15" customHeight="1" x14ac:dyDescent="0.35">
      <c r="B87" s="20"/>
      <c r="I87" s="20"/>
      <c r="J87" s="20"/>
    </row>
    <row r="88" spans="2:10" ht="15" customHeight="1" x14ac:dyDescent="0.35">
      <c r="B88" s="20"/>
      <c r="I88" s="20"/>
      <c r="J88" s="20"/>
    </row>
    <row r="89" spans="2:10" ht="15" customHeight="1" x14ac:dyDescent="0.35">
      <c r="B89" s="20"/>
      <c r="I89" s="20"/>
      <c r="J89" s="20"/>
    </row>
    <row r="90" spans="2:10" ht="15" customHeight="1" x14ac:dyDescent="0.35">
      <c r="B90" s="20"/>
      <c r="I90" s="20"/>
      <c r="J90" s="20"/>
    </row>
    <row r="91" spans="2:10" ht="15" customHeight="1" x14ac:dyDescent="0.35">
      <c r="B91" s="20"/>
      <c r="I91" s="20"/>
      <c r="J91" s="20"/>
    </row>
    <row r="92" spans="2:10" ht="15" customHeight="1" x14ac:dyDescent="0.35">
      <c r="B92" s="20"/>
      <c r="I92" s="20"/>
      <c r="J92" s="20"/>
    </row>
    <row r="93" spans="2:10" ht="15" customHeight="1" x14ac:dyDescent="0.35">
      <c r="B93" s="20"/>
      <c r="I93" s="20"/>
      <c r="J93" s="20"/>
    </row>
    <row r="94" spans="2:10" ht="15" customHeight="1" x14ac:dyDescent="0.35">
      <c r="B94" s="20"/>
      <c r="I94" s="20"/>
      <c r="J94" s="20"/>
    </row>
    <row r="95" spans="2:10" ht="15" customHeight="1" x14ac:dyDescent="0.35">
      <c r="B95" s="20"/>
      <c r="I95" s="20"/>
      <c r="J95" s="20"/>
    </row>
    <row r="96" spans="2:10" ht="15" customHeight="1" x14ac:dyDescent="0.35">
      <c r="B96" s="20"/>
      <c r="I96" s="20"/>
      <c r="J96" s="20"/>
    </row>
    <row r="97" spans="2:10" ht="15" customHeight="1" x14ac:dyDescent="0.35">
      <c r="B97" s="20"/>
      <c r="I97" s="20"/>
      <c r="J97" s="20"/>
    </row>
    <row r="98" spans="2:10" ht="15" customHeight="1" x14ac:dyDescent="0.35">
      <c r="B98" s="20"/>
      <c r="I98" s="20"/>
      <c r="J98" s="20"/>
    </row>
    <row r="99" spans="2:10" ht="15" customHeight="1" x14ac:dyDescent="0.35">
      <c r="B99" s="20"/>
      <c r="I99" s="20"/>
      <c r="J99" s="20"/>
    </row>
    <row r="100" spans="2:10" ht="15" customHeight="1" x14ac:dyDescent="0.35">
      <c r="B100" s="20"/>
      <c r="I100" s="20"/>
      <c r="J100" s="20"/>
    </row>
    <row r="101" spans="2:10" ht="15" customHeight="1" x14ac:dyDescent="0.35">
      <c r="B101" s="20"/>
      <c r="I101" s="20"/>
      <c r="J101" s="20"/>
    </row>
    <row r="102" spans="2:10" ht="15" customHeight="1" x14ac:dyDescent="0.35">
      <c r="B102" s="20"/>
      <c r="I102" s="20"/>
      <c r="J102" s="20"/>
    </row>
    <row r="103" spans="2:10" ht="15" customHeight="1" x14ac:dyDescent="0.35">
      <c r="B103" s="20"/>
      <c r="I103" s="20"/>
      <c r="J103" s="20"/>
    </row>
    <row r="104" spans="2:10" ht="15" customHeight="1" x14ac:dyDescent="0.35">
      <c r="B104" s="20"/>
      <c r="I104" s="20"/>
      <c r="J104" s="20"/>
    </row>
    <row r="105" spans="2:10" ht="15" customHeight="1" x14ac:dyDescent="0.35">
      <c r="B105" s="20"/>
      <c r="I105" s="20"/>
      <c r="J105" s="20"/>
    </row>
    <row r="106" spans="2:10" ht="15" customHeight="1" x14ac:dyDescent="0.35">
      <c r="B106" s="20"/>
      <c r="I106" s="20"/>
      <c r="J106" s="20"/>
    </row>
    <row r="107" spans="2:10" ht="15" customHeight="1" x14ac:dyDescent="0.35">
      <c r="B107" s="20"/>
      <c r="I107" s="20"/>
      <c r="J107" s="20"/>
    </row>
    <row r="108" spans="2:10" ht="15" customHeight="1" x14ac:dyDescent="0.35">
      <c r="B108" s="20"/>
      <c r="I108" s="20"/>
      <c r="J108" s="20"/>
    </row>
    <row r="109" spans="2:10" ht="15" customHeight="1" x14ac:dyDescent="0.35">
      <c r="B109" s="20"/>
      <c r="I109" s="20"/>
      <c r="J109" s="20"/>
    </row>
    <row r="110" spans="2:10" ht="15" customHeight="1" x14ac:dyDescent="0.35">
      <c r="B110" s="20"/>
      <c r="I110" s="20"/>
      <c r="J110" s="20"/>
    </row>
    <row r="111" spans="2:10" ht="15" customHeight="1" x14ac:dyDescent="0.35">
      <c r="B111" s="20"/>
      <c r="I111" s="20"/>
      <c r="J111" s="20"/>
    </row>
    <row r="112" spans="2:10" ht="15" customHeight="1" x14ac:dyDescent="0.35">
      <c r="B112" s="20"/>
      <c r="I112" s="20"/>
      <c r="J112" s="20"/>
    </row>
    <row r="113" spans="2:10" ht="15" customHeight="1" x14ac:dyDescent="0.35">
      <c r="B113" s="20"/>
      <c r="I113" s="20"/>
      <c r="J113" s="20"/>
    </row>
    <row r="114" spans="2:10" ht="15" customHeight="1" x14ac:dyDescent="0.35">
      <c r="B114" s="20"/>
      <c r="I114" s="20"/>
      <c r="J114" s="20"/>
    </row>
    <row r="115" spans="2:10" ht="15" customHeight="1" x14ac:dyDescent="0.35">
      <c r="B115" s="20"/>
      <c r="I115" s="20"/>
      <c r="J115" s="20"/>
    </row>
    <row r="116" spans="2:10" ht="15" customHeight="1" x14ac:dyDescent="0.35">
      <c r="B116" s="20"/>
      <c r="I116" s="20"/>
      <c r="J116" s="20"/>
    </row>
    <row r="117" spans="2:10" ht="15" customHeight="1" x14ac:dyDescent="0.35">
      <c r="B117" s="20"/>
      <c r="I117" s="20"/>
      <c r="J117" s="20"/>
    </row>
    <row r="118" spans="2:10" ht="15" customHeight="1" x14ac:dyDescent="0.35">
      <c r="B118" s="20"/>
      <c r="I118" s="20"/>
      <c r="J118" s="20"/>
    </row>
    <row r="119" spans="2:10" ht="15" customHeight="1" x14ac:dyDescent="0.35">
      <c r="B119" s="20"/>
      <c r="I119" s="20"/>
      <c r="J119" s="20"/>
    </row>
    <row r="120" spans="2:10" ht="15" customHeight="1" x14ac:dyDescent="0.35">
      <c r="B120" s="20"/>
      <c r="I120" s="20"/>
      <c r="J120" s="20"/>
    </row>
    <row r="121" spans="2:10" ht="15" customHeight="1" x14ac:dyDescent="0.35">
      <c r="B121" s="20"/>
      <c r="I121" s="20"/>
      <c r="J121" s="20"/>
    </row>
    <row r="122" spans="2:10" ht="15" customHeight="1" x14ac:dyDescent="0.35">
      <c r="B122" s="20"/>
      <c r="I122" s="20"/>
      <c r="J122" s="20"/>
    </row>
    <row r="123" spans="2:10" ht="15" customHeight="1" x14ac:dyDescent="0.35">
      <c r="B123" s="20"/>
      <c r="I123" s="20"/>
      <c r="J123" s="20"/>
    </row>
    <row r="124" spans="2:10" ht="15" customHeight="1" x14ac:dyDescent="0.35">
      <c r="B124" s="20"/>
      <c r="I124" s="20"/>
      <c r="J124" s="20"/>
    </row>
    <row r="125" spans="2:10" ht="15" customHeight="1" x14ac:dyDescent="0.35">
      <c r="B125" s="20"/>
      <c r="I125" s="20"/>
      <c r="J125" s="20"/>
    </row>
    <row r="126" spans="2:10" ht="15" customHeight="1" x14ac:dyDescent="0.35">
      <c r="B126" s="20"/>
      <c r="I126" s="20"/>
      <c r="J126" s="20"/>
    </row>
    <row r="127" spans="2:10" ht="15" customHeight="1" x14ac:dyDescent="0.35">
      <c r="B127" s="20"/>
      <c r="I127" s="20"/>
      <c r="J127" s="20"/>
    </row>
    <row r="128" spans="2:10" ht="15" customHeight="1" x14ac:dyDescent="0.35">
      <c r="B128" s="20"/>
      <c r="I128" s="20"/>
      <c r="J128" s="20"/>
    </row>
    <row r="129" spans="2:10" ht="15" customHeight="1" x14ac:dyDescent="0.35">
      <c r="B129" s="20"/>
      <c r="I129" s="20"/>
      <c r="J129" s="20"/>
    </row>
    <row r="130" spans="2:10" ht="15" customHeight="1" x14ac:dyDescent="0.35">
      <c r="B130" s="20"/>
      <c r="I130" s="20"/>
      <c r="J130" s="20"/>
    </row>
    <row r="131" spans="2:10" ht="15" customHeight="1" x14ac:dyDescent="0.35">
      <c r="B131" s="20"/>
      <c r="I131" s="20"/>
      <c r="J131" s="20"/>
    </row>
    <row r="132" spans="2:10" ht="15" customHeight="1" x14ac:dyDescent="0.35">
      <c r="B132" s="20"/>
      <c r="I132" s="20"/>
      <c r="J132" s="20"/>
    </row>
    <row r="133" spans="2:10" ht="15" customHeight="1" x14ac:dyDescent="0.35">
      <c r="B133" s="20"/>
      <c r="I133" s="20"/>
      <c r="J133" s="20"/>
    </row>
    <row r="134" spans="2:10" ht="15" customHeight="1" x14ac:dyDescent="0.35">
      <c r="B134" s="20"/>
      <c r="I134" s="20"/>
      <c r="J134" s="20"/>
    </row>
    <row r="135" spans="2:10" ht="15" customHeight="1" x14ac:dyDescent="0.35">
      <c r="B135" s="20"/>
      <c r="I135" s="20"/>
      <c r="J135" s="20"/>
    </row>
    <row r="136" spans="2:10" ht="15" customHeight="1" x14ac:dyDescent="0.35">
      <c r="B136" s="20"/>
      <c r="I136" s="20"/>
      <c r="J136" s="20"/>
    </row>
    <row r="137" spans="2:10" ht="15" customHeight="1" x14ac:dyDescent="0.35">
      <c r="B137" s="20"/>
      <c r="I137" s="20"/>
      <c r="J137" s="20"/>
    </row>
    <row r="138" spans="2:10" ht="15" customHeight="1" x14ac:dyDescent="0.35">
      <c r="B138" s="20"/>
      <c r="I138" s="20"/>
      <c r="J138" s="20"/>
    </row>
    <row r="139" spans="2:10" ht="15" customHeight="1" x14ac:dyDescent="0.35">
      <c r="B139" s="20"/>
      <c r="I139" s="20"/>
      <c r="J139" s="20"/>
    </row>
    <row r="140" spans="2:10" ht="15" customHeight="1" x14ac:dyDescent="0.35">
      <c r="B140" s="20"/>
      <c r="I140" s="20"/>
      <c r="J140" s="20"/>
    </row>
    <row r="141" spans="2:10" ht="15" customHeight="1" x14ac:dyDescent="0.35">
      <c r="B141" s="20"/>
      <c r="I141" s="20"/>
      <c r="J141" s="20"/>
    </row>
    <row r="142" spans="2:10" ht="15" customHeight="1" x14ac:dyDescent="0.35">
      <c r="B142" s="20"/>
      <c r="I142" s="20"/>
      <c r="J142" s="20"/>
    </row>
    <row r="143" spans="2:10" ht="15" customHeight="1" x14ac:dyDescent="0.35">
      <c r="B143" s="20"/>
      <c r="I143" s="20"/>
      <c r="J143" s="20"/>
    </row>
    <row r="144" spans="2:10" ht="15" customHeight="1" x14ac:dyDescent="0.35">
      <c r="B144" s="20"/>
      <c r="I144" s="20"/>
      <c r="J144" s="20"/>
    </row>
    <row r="145" spans="2:10" ht="15" customHeight="1" x14ac:dyDescent="0.35">
      <c r="B145" s="20"/>
      <c r="I145" s="20"/>
      <c r="J145" s="20"/>
    </row>
    <row r="146" spans="2:10" ht="15" customHeight="1" x14ac:dyDescent="0.35">
      <c r="B146" s="20"/>
      <c r="I146" s="20"/>
      <c r="J146" s="20"/>
    </row>
    <row r="147" spans="2:10" ht="15" customHeight="1" x14ac:dyDescent="0.35">
      <c r="B147" s="20"/>
      <c r="I147" s="20"/>
      <c r="J147" s="20"/>
    </row>
    <row r="148" spans="2:10" ht="15" customHeight="1" x14ac:dyDescent="0.35">
      <c r="B148" s="20"/>
      <c r="I148" s="20"/>
      <c r="J148" s="20"/>
    </row>
    <row r="149" spans="2:10" ht="15" customHeight="1" x14ac:dyDescent="0.35">
      <c r="B149" s="20"/>
      <c r="I149" s="20"/>
      <c r="J149" s="20"/>
    </row>
    <row r="150" spans="2:10" ht="15" customHeight="1" x14ac:dyDescent="0.35">
      <c r="B150" s="20"/>
      <c r="I150" s="20"/>
      <c r="J150" s="20"/>
    </row>
  </sheetData>
  <conditionalFormatting sqref="F2:G71 F23:F150">
    <cfRule type="cellIs" dxfId="3" priority="2" operator="greaterThan">
      <formula>3</formula>
    </cfRule>
  </conditionalFormatting>
  <conditionalFormatting sqref="J2:J71">
    <cfRule type="cellIs" dxfId="2" priority="3" operator="greaterThan">
      <formula>1</formula>
    </cfRule>
  </conditionalFormatting>
  <pageMargins left="0.7" right="0.7" top="0.75" bottom="0.75" header="0" footer="0"/>
  <pageSetup orientation="landscape"/>
  <headerFooter>
    <oddFooter>&amp;C_x000D_&amp;1#&amp;"Aptos"&amp;10&amp;K000000 Air India General - Internal use only</oddFooter>
  </headerFooter>
  <ignoredErrors>
    <ignoredError sqref="B2 B3:H3 B4:H7 B15:H21 B8:H14 B22:H71" emptyCellReference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tabSelected="1" topLeftCell="A55" workbookViewId="0">
      <selection activeCell="K13" sqref="K13"/>
    </sheetView>
  </sheetViews>
  <sheetFormatPr defaultColWidth="14.453125" defaultRowHeight="15" customHeight="1" x14ac:dyDescent="0.35"/>
  <cols>
    <col min="1" max="1" width="33.08984375" bestFit="1" customWidth="1"/>
    <col min="2" max="2" width="18.08984375" customWidth="1"/>
    <col min="3" max="3" width="13.54296875" customWidth="1"/>
    <col min="4" max="4" width="19.54296875" customWidth="1"/>
    <col min="5" max="5" width="14.26953125" customWidth="1"/>
    <col min="6" max="8" width="20.453125" customWidth="1"/>
    <col min="9" max="11" width="8.7265625" customWidth="1"/>
  </cols>
  <sheetData>
    <row r="1" spans="1:11" ht="16" customHeight="1" x14ac:dyDescent="0.35"/>
    <row r="2" spans="1:11" ht="15.5" customHeight="1" x14ac:dyDescent="0.35"/>
    <row r="3" spans="1:11" ht="21.5" customHeight="1" x14ac:dyDescent="0.35">
      <c r="A3" s="23" t="s">
        <v>0</v>
      </c>
      <c r="B3" s="23" t="s">
        <v>1</v>
      </c>
      <c r="C3" s="44" t="s">
        <v>21</v>
      </c>
      <c r="D3" s="44" t="s">
        <v>22</v>
      </c>
      <c r="E3" s="44" t="s">
        <v>23</v>
      </c>
      <c r="F3" s="44" t="s">
        <v>24</v>
      </c>
      <c r="G3" s="44" t="s">
        <v>25</v>
      </c>
      <c r="H3" s="44" t="s">
        <v>26</v>
      </c>
    </row>
    <row r="4" spans="1:11" ht="34" customHeight="1" x14ac:dyDescent="0.55000000000000004">
      <c r="A4" s="5" t="s">
        <v>30</v>
      </c>
      <c r="B4" s="6">
        <f>_xlfn.XLOOKUP($A$4,Test_Report!$A:$A,Test_Report!$B:$B)</f>
        <v>972</v>
      </c>
      <c r="C4" s="5">
        <f>_xlfn.XLOOKUP($A$4,Test_Report!$A:$A,Test_Report!$C:$C)</f>
        <v>0.186</v>
      </c>
      <c r="D4" s="5">
        <f>_xlfn.XLOOKUP($A$4,Test_Report!$A:$A,Test_Report!$D:$D)</f>
        <v>2.2360000000000002</v>
      </c>
      <c r="E4" s="5">
        <f>_xlfn.XLOOKUP($A$4,Test_Report!$A:$A,Test_Report!$E:$E)</f>
        <v>8.4659999999999993</v>
      </c>
      <c r="F4" s="5">
        <f>_xlfn.XLOOKUP($A$4,Test_Report!$A:$A,Test_Report!$F:$F)</f>
        <v>4.5679999999999996</v>
      </c>
      <c r="G4" s="5">
        <f>_xlfn.XLOOKUP($A$4,Test_Report!$A:$A,Test_Report!$G:$G)</f>
        <v>5.47</v>
      </c>
      <c r="H4" s="5">
        <f>_xlfn.XLOOKUP($A$4,Test_Report!$A:$A,Test_Report!$H:$H)</f>
        <v>6.944</v>
      </c>
    </row>
    <row r="5" spans="1:11" ht="14.25" customHeight="1" x14ac:dyDescent="0.35"/>
    <row r="6" spans="1:11" ht="14.25" customHeight="1" x14ac:dyDescent="0.35"/>
    <row r="7" spans="1:11" ht="14.25" customHeight="1" x14ac:dyDescent="0.35"/>
    <row r="8" spans="1:11" ht="14.25" customHeight="1" x14ac:dyDescent="0.35"/>
    <row r="9" spans="1:11" ht="5.5" customHeight="1" thickBot="1" x14ac:dyDescent="0.4"/>
    <row r="10" spans="1:11" ht="20" customHeight="1" thickBot="1" x14ac:dyDescent="0.5">
      <c r="D10" s="38" t="s">
        <v>15</v>
      </c>
      <c r="E10" s="39"/>
    </row>
    <row r="11" spans="1:11" ht="14.25" customHeight="1" x14ac:dyDescent="0.35"/>
    <row r="12" spans="1:11" ht="28.5" customHeight="1" x14ac:dyDescent="0.35">
      <c r="A12" s="7" t="str">
        <f t="array" ref="A12:J12">Test_Report!A1:J1</f>
        <v>Label</v>
      </c>
      <c r="B12" s="7" t="str">
        <v>#Samples</v>
      </c>
      <c r="C12" s="7" t="str">
        <v>Min</v>
      </c>
      <c r="D12" s="7" t="str">
        <v>Average</v>
      </c>
      <c r="E12" s="7" t="str">
        <v>Max</v>
      </c>
      <c r="F12" s="7" t="str">
        <v>90% Line</v>
      </c>
      <c r="G12" s="7" t="str">
        <v>95% Line</v>
      </c>
      <c r="H12" s="7" t="str">
        <v>99% Line</v>
      </c>
      <c r="I12" s="7" t="str">
        <v>Pass</v>
      </c>
      <c r="J12" s="7" t="str">
        <v>Fail</v>
      </c>
      <c r="K12" s="8"/>
    </row>
    <row r="13" spans="1:11" ht="14.25" customHeight="1" x14ac:dyDescent="0.35">
      <c r="A13" s="9" t="str" cm="1">
        <f t="array" ref="A13:J18">_xlfn._xlws.FILTER(Test_Report!A2:J150,Test_Report!J2:J150&gt;=1)</f>
        <v>01-getControlBoard</v>
      </c>
      <c r="B13" s="41">
        <v>993</v>
      </c>
      <c r="C13" s="43">
        <v>6.2649999999999997</v>
      </c>
      <c r="D13" s="43">
        <v>18.721</v>
      </c>
      <c r="E13" s="43">
        <v>22.545999999999999</v>
      </c>
      <c r="F13" s="43">
        <v>20.273</v>
      </c>
      <c r="G13" s="43">
        <v>20.379000000000001</v>
      </c>
      <c r="H13" s="43">
        <v>21.443000000000001</v>
      </c>
      <c r="I13" s="42">
        <v>205.99784999999997</v>
      </c>
      <c r="J13" s="42">
        <v>787.00215000000003</v>
      </c>
    </row>
    <row r="14" spans="1:11" ht="14.25" customHeight="1" x14ac:dyDescent="0.35">
      <c r="A14" s="9" t="str">
        <v>05-getCFGCrewDetails</v>
      </c>
      <c r="B14" s="41">
        <v>971</v>
      </c>
      <c r="C14" s="43">
        <v>6.7000000000000004E-2</v>
      </c>
      <c r="D14" s="43">
        <v>0.65</v>
      </c>
      <c r="E14" s="43">
        <v>20.068000000000001</v>
      </c>
      <c r="F14" s="43">
        <v>1.5740000000000001</v>
      </c>
      <c r="G14" s="43">
        <v>2.9350000000000001</v>
      </c>
      <c r="H14" s="43">
        <v>7.734</v>
      </c>
      <c r="I14" s="42">
        <v>969.99986999999999</v>
      </c>
      <c r="J14" s="42">
        <v>1.0001300000000002</v>
      </c>
    </row>
    <row r="15" spans="1:11" ht="14.25" customHeight="1" x14ac:dyDescent="0.35">
      <c r="A15" s="9" t="str">
        <v>11-getFlightDetailByFlightDateStdLclv3</v>
      </c>
      <c r="B15" s="41">
        <v>641</v>
      </c>
      <c r="C15" s="43">
        <v>7.7320000000000002</v>
      </c>
      <c r="D15" s="43">
        <v>19.082999999999998</v>
      </c>
      <c r="E15" s="43">
        <v>21.978999999999999</v>
      </c>
      <c r="F15" s="43">
        <v>20.106000000000002</v>
      </c>
      <c r="G15" s="43">
        <v>20.146000000000001</v>
      </c>
      <c r="H15" s="43">
        <v>20.574000000000002</v>
      </c>
      <c r="I15" s="42">
        <v>93.00269000000003</v>
      </c>
      <c r="J15" s="42">
        <v>547.99730999999997</v>
      </c>
    </row>
    <row r="16" spans="1:11" ht="14.25" customHeight="1" x14ac:dyDescent="0.35">
      <c r="A16" s="9" t="str">
        <v>27-getFuelCompDataForId</v>
      </c>
      <c r="B16" s="41">
        <v>603</v>
      </c>
      <c r="C16" s="43">
        <v>6.5000000000000002E-2</v>
      </c>
      <c r="D16" s="43">
        <v>0.16400000000000001</v>
      </c>
      <c r="E16" s="43">
        <v>1.258</v>
      </c>
      <c r="F16" s="43">
        <v>0.23899999999999999</v>
      </c>
      <c r="G16" s="43">
        <v>0.29499999999999998</v>
      </c>
      <c r="H16" s="43">
        <v>0.56999999999999995</v>
      </c>
      <c r="I16" s="42">
        <v>601.99901999999997</v>
      </c>
      <c r="J16" s="42">
        <v>1.00098</v>
      </c>
    </row>
    <row r="17" spans="1:10" ht="14.25" customHeight="1" x14ac:dyDescent="0.35">
      <c r="A17" s="9" t="str">
        <v>78-CateringManager_pinFlight</v>
      </c>
      <c r="B17" s="41">
        <v>247</v>
      </c>
      <c r="C17" s="43">
        <v>5.3999999999999999E-2</v>
      </c>
      <c r="D17" s="43">
        <v>0.10299999999999999</v>
      </c>
      <c r="E17" s="43">
        <v>2.536</v>
      </c>
      <c r="F17" s="43">
        <v>0.11899999999999999</v>
      </c>
      <c r="G17" s="43">
        <v>0.14699999999999999</v>
      </c>
      <c r="H17" s="43">
        <v>0.53100000000000003</v>
      </c>
      <c r="I17" s="42">
        <v>181.99948000000001</v>
      </c>
      <c r="J17" s="42">
        <v>65.000519999999995</v>
      </c>
    </row>
    <row r="18" spans="1:10" ht="14.25" customHeight="1" x14ac:dyDescent="0.35">
      <c r="A18" s="9" t="str">
        <v>Total</v>
      </c>
      <c r="B18" s="41">
        <v>26307</v>
      </c>
      <c r="C18" s="43">
        <v>0</v>
      </c>
      <c r="D18" s="43">
        <v>0</v>
      </c>
      <c r="E18" s="43">
        <v>0</v>
      </c>
      <c r="F18" s="43">
        <v>0</v>
      </c>
      <c r="G18" s="43">
        <v>0</v>
      </c>
      <c r="H18" s="43">
        <v>0</v>
      </c>
      <c r="I18" s="42">
        <v>24904.998909999998</v>
      </c>
      <c r="J18" s="42">
        <v>1402.00109</v>
      </c>
    </row>
    <row r="19" spans="1:10" ht="14.25" customHeight="1" x14ac:dyDescent="0.35">
      <c r="B19" s="22"/>
      <c r="C19" s="21"/>
      <c r="D19" s="21"/>
      <c r="E19" s="21"/>
      <c r="F19" s="21"/>
      <c r="G19" s="21"/>
      <c r="H19" s="21"/>
      <c r="I19" s="20"/>
      <c r="J19" s="20"/>
    </row>
    <row r="20" spans="1:10" ht="14.25" customHeight="1" x14ac:dyDescent="0.35">
      <c r="C20" s="10"/>
      <c r="D20" s="10"/>
      <c r="E20" s="10"/>
      <c r="F20" s="10"/>
      <c r="G20" s="10"/>
      <c r="H20" s="10"/>
      <c r="I20" s="1"/>
      <c r="J20" s="1"/>
    </row>
    <row r="21" spans="1:10" ht="14.25" customHeight="1" x14ac:dyDescent="0.35">
      <c r="C21" s="10"/>
      <c r="D21" s="10"/>
      <c r="E21" s="10"/>
      <c r="F21" s="10"/>
      <c r="G21" s="10"/>
      <c r="H21" s="10"/>
      <c r="I21" s="1"/>
      <c r="J21" s="1"/>
    </row>
    <row r="22" spans="1:10" ht="14.25" customHeight="1" x14ac:dyDescent="0.35">
      <c r="C22" s="10"/>
      <c r="D22" s="10"/>
      <c r="E22" s="10"/>
      <c r="F22" s="10"/>
      <c r="G22" s="10"/>
      <c r="H22" s="10"/>
      <c r="I22" s="1"/>
      <c r="J22" s="1"/>
    </row>
    <row r="23" spans="1:10" ht="14.25" customHeight="1" x14ac:dyDescent="0.35">
      <c r="C23" s="10"/>
      <c r="D23" s="10"/>
      <c r="E23" s="10"/>
      <c r="F23" s="10"/>
      <c r="G23" s="10"/>
      <c r="H23" s="10"/>
      <c r="I23" s="1"/>
      <c r="J23" s="1"/>
    </row>
    <row r="24" spans="1:10" ht="14.25" customHeight="1" x14ac:dyDescent="0.35">
      <c r="C24" s="10"/>
      <c r="D24" s="10"/>
      <c r="E24" s="10"/>
      <c r="F24" s="10"/>
      <c r="G24" s="10"/>
      <c r="H24" s="10"/>
      <c r="I24" s="1"/>
      <c r="J24" s="1"/>
    </row>
    <row r="25" spans="1:10" ht="14.25" customHeight="1" x14ac:dyDescent="0.35">
      <c r="C25" s="10"/>
      <c r="D25" s="10"/>
      <c r="E25" s="10"/>
      <c r="F25" s="10"/>
      <c r="G25" s="10"/>
      <c r="H25" s="10"/>
      <c r="I25" s="1"/>
      <c r="J25" s="1"/>
    </row>
    <row r="26" spans="1:10" ht="14.25" customHeight="1" x14ac:dyDescent="0.35">
      <c r="C26" s="10"/>
      <c r="D26" s="10"/>
      <c r="E26" s="10"/>
      <c r="F26" s="10"/>
      <c r="G26" s="10"/>
      <c r="H26" s="10"/>
      <c r="I26" s="1"/>
      <c r="J26" s="1"/>
    </row>
    <row r="27" spans="1:10" ht="14.25" customHeight="1" x14ac:dyDescent="0.35">
      <c r="C27" s="10"/>
      <c r="D27" s="10"/>
      <c r="E27" s="10"/>
      <c r="F27" s="10"/>
      <c r="G27" s="10"/>
      <c r="H27" s="10"/>
      <c r="I27" s="1"/>
      <c r="J27" s="1"/>
    </row>
    <row r="28" spans="1:10" ht="14.25" customHeight="1" x14ac:dyDescent="0.35">
      <c r="C28" s="10"/>
      <c r="D28" s="10"/>
      <c r="E28" s="10"/>
      <c r="F28" s="10"/>
      <c r="G28" s="10"/>
      <c r="H28" s="10"/>
      <c r="I28" s="1"/>
      <c r="J28" s="1"/>
    </row>
    <row r="29" spans="1:10" ht="14.25" customHeight="1" x14ac:dyDescent="0.35">
      <c r="C29" s="10"/>
      <c r="D29" s="10"/>
      <c r="E29" s="10"/>
      <c r="F29" s="10"/>
      <c r="G29" s="10"/>
      <c r="H29" s="10"/>
      <c r="I29" s="1"/>
      <c r="J29" s="1"/>
    </row>
    <row r="30" spans="1:10" ht="14.25" customHeight="1" x14ac:dyDescent="0.35">
      <c r="C30" s="10"/>
      <c r="D30" s="10"/>
      <c r="E30" s="10"/>
      <c r="F30" s="10"/>
      <c r="G30" s="10"/>
      <c r="H30" s="10"/>
      <c r="I30" s="1"/>
      <c r="J30" s="1"/>
    </row>
    <row r="31" spans="1:10" ht="14.25" customHeight="1" x14ac:dyDescent="0.35">
      <c r="C31" s="10"/>
      <c r="D31" s="10"/>
      <c r="E31" s="10"/>
      <c r="F31" s="10"/>
      <c r="G31" s="10"/>
      <c r="H31" s="10"/>
      <c r="I31" s="1"/>
      <c r="J31" s="1"/>
    </row>
    <row r="32" spans="1:10" ht="14.25" customHeight="1" x14ac:dyDescent="0.35">
      <c r="C32" s="10"/>
      <c r="D32" s="10"/>
      <c r="E32" s="10"/>
      <c r="F32" s="10"/>
      <c r="G32" s="10"/>
      <c r="H32" s="10"/>
      <c r="I32" s="1"/>
      <c r="J32" s="1"/>
    </row>
    <row r="33" spans="3:10" ht="14.25" customHeight="1" x14ac:dyDescent="0.35">
      <c r="C33" s="10"/>
      <c r="D33" s="10"/>
      <c r="E33" s="10"/>
      <c r="F33" s="10"/>
      <c r="G33" s="10"/>
      <c r="H33" s="10"/>
      <c r="I33" s="1"/>
      <c r="J33" s="1"/>
    </row>
    <row r="34" spans="3:10" ht="14.25" customHeight="1" x14ac:dyDescent="0.35">
      <c r="C34" s="10"/>
      <c r="D34" s="10"/>
      <c r="E34" s="10"/>
      <c r="F34" s="10"/>
      <c r="G34" s="10"/>
      <c r="H34" s="10"/>
      <c r="I34" s="1"/>
      <c r="J34" s="1"/>
    </row>
    <row r="35" spans="3:10" ht="14.25" customHeight="1" x14ac:dyDescent="0.35">
      <c r="C35" s="10"/>
      <c r="D35" s="10"/>
      <c r="E35" s="10"/>
      <c r="F35" s="10"/>
      <c r="G35" s="10"/>
      <c r="H35" s="10"/>
      <c r="J35" s="1"/>
    </row>
    <row r="36" spans="3:10" ht="14.25" customHeight="1" x14ac:dyDescent="0.35">
      <c r="C36" s="10"/>
      <c r="D36" s="10"/>
      <c r="E36" s="10"/>
      <c r="F36" s="10"/>
      <c r="G36" s="10"/>
      <c r="H36" s="10"/>
    </row>
    <row r="37" spans="3:10" ht="14.25" customHeight="1" x14ac:dyDescent="0.35">
      <c r="C37" s="10"/>
      <c r="D37" s="10"/>
      <c r="E37" s="10"/>
      <c r="F37" s="10"/>
      <c r="G37" s="10"/>
      <c r="H37" s="10"/>
    </row>
    <row r="38" spans="3:10" ht="14.25" customHeight="1" x14ac:dyDescent="0.35">
      <c r="C38" s="10"/>
      <c r="D38" s="10"/>
      <c r="E38" s="10"/>
      <c r="F38" s="10"/>
      <c r="G38" s="10"/>
      <c r="H38" s="10"/>
    </row>
    <row r="39" spans="3:10" ht="14.25" customHeight="1" x14ac:dyDescent="0.35">
      <c r="C39" s="10"/>
      <c r="D39" s="10"/>
      <c r="E39" s="10"/>
      <c r="F39" s="10"/>
      <c r="G39" s="10"/>
      <c r="H39" s="10"/>
    </row>
    <row r="40" spans="3:10" ht="14.25" customHeight="1" x14ac:dyDescent="0.35"/>
    <row r="41" spans="3:10" ht="14.25" customHeight="1" x14ac:dyDescent="0.35"/>
    <row r="42" spans="3:10" ht="14.25" customHeight="1" x14ac:dyDescent="0.35"/>
    <row r="43" spans="3:10" ht="14.25" customHeight="1" x14ac:dyDescent="0.35"/>
    <row r="44" spans="3:10" ht="14.25" customHeight="1" x14ac:dyDescent="0.35"/>
    <row r="45" spans="3:10" ht="14.25" customHeight="1" x14ac:dyDescent="0.35"/>
    <row r="46" spans="3:10" ht="14.25" customHeight="1" x14ac:dyDescent="0.35"/>
    <row r="47" spans="3:10" ht="14.25" customHeight="1" x14ac:dyDescent="0.35"/>
    <row r="48" spans="3:10" ht="14.25" customHeight="1" x14ac:dyDescent="0.35"/>
    <row r="49" spans="1:10" ht="14.25" customHeight="1" x14ac:dyDescent="0.35"/>
    <row r="50" spans="1:10" ht="14.25" customHeight="1" x14ac:dyDescent="0.35"/>
    <row r="51" spans="1:10" ht="14.25" customHeight="1" x14ac:dyDescent="0.35"/>
    <row r="52" spans="1:10" ht="14.25" customHeight="1" x14ac:dyDescent="0.35"/>
    <row r="53" spans="1:10" ht="14.25" customHeight="1" x14ac:dyDescent="0.35"/>
    <row r="54" spans="1:10" ht="3" customHeight="1" thickBot="1" x14ac:dyDescent="0.4"/>
    <row r="55" spans="1:10" ht="26.5" customHeight="1" thickBot="1" x14ac:dyDescent="0.65">
      <c r="D55" s="40" t="s">
        <v>16</v>
      </c>
      <c r="E55" s="39"/>
    </row>
    <row r="56" spans="1:10" ht="14.25" customHeight="1" x14ac:dyDescent="0.35"/>
    <row r="57" spans="1:10" ht="30" customHeight="1" x14ac:dyDescent="0.35">
      <c r="A57" s="7" t="str">
        <f t="array" ref="A57:J57">Test_Report!A1:J1</f>
        <v>Label</v>
      </c>
      <c r="B57" s="7" t="str">
        <v>#Samples</v>
      </c>
      <c r="C57" s="7" t="str">
        <v>Min</v>
      </c>
      <c r="D57" s="7" t="str">
        <v>Average</v>
      </c>
      <c r="E57" s="7" t="str">
        <v>Max</v>
      </c>
      <c r="F57" s="7" t="str">
        <v>90% Line</v>
      </c>
      <c r="G57" s="7" t="str">
        <v>95% Line</v>
      </c>
      <c r="H57" s="7" t="str">
        <v>99% Line</v>
      </c>
      <c r="I57" s="7" t="str">
        <v>Pass</v>
      </c>
      <c r="J57" s="7" t="str">
        <v>Fail</v>
      </c>
    </row>
    <row r="58" spans="1:10" ht="14.25" customHeight="1" x14ac:dyDescent="0.35">
      <c r="A58" t="str" cm="1">
        <f t="array" ref="A58:J68">_xlfn._xlws.FILTER(Test_Report!A2:J150, Test_Report!F2:F150&gt;=3)</f>
        <v>01-getControlBoard</v>
      </c>
      <c r="B58" s="22">
        <v>993</v>
      </c>
      <c r="C58" s="21">
        <v>6.2649999999999997</v>
      </c>
      <c r="D58" s="21">
        <v>18.721</v>
      </c>
      <c r="E58" s="21">
        <v>22.545999999999999</v>
      </c>
      <c r="F58" s="21">
        <v>20.273</v>
      </c>
      <c r="G58" s="21">
        <v>20.379000000000001</v>
      </c>
      <c r="H58" s="21">
        <v>21.443000000000001</v>
      </c>
      <c r="I58" s="22">
        <v>205.99784999999997</v>
      </c>
      <c r="J58" s="22">
        <v>787.00215000000003</v>
      </c>
    </row>
    <row r="59" spans="1:10" ht="14.25" customHeight="1" x14ac:dyDescent="0.35">
      <c r="A59" t="str">
        <v>03-getCBNotificationsAndOTP</v>
      </c>
      <c r="B59" s="22">
        <v>972</v>
      </c>
      <c r="C59" s="21">
        <v>0.186</v>
      </c>
      <c r="D59" s="21">
        <v>2.2360000000000002</v>
      </c>
      <c r="E59" s="21">
        <v>8.4659999999999993</v>
      </c>
      <c r="F59" s="21">
        <v>4.5679999999999996</v>
      </c>
      <c r="G59" s="21">
        <v>5.47</v>
      </c>
      <c r="H59" s="21">
        <v>6.944</v>
      </c>
      <c r="I59" s="22">
        <v>972</v>
      </c>
      <c r="J59" s="22">
        <v>0</v>
      </c>
    </row>
    <row r="60" spans="1:10" ht="14.25" customHeight="1" x14ac:dyDescent="0.35">
      <c r="A60" t="str">
        <v>06-getEngControlBoardData</v>
      </c>
      <c r="B60" s="22">
        <v>969</v>
      </c>
      <c r="C60" s="21">
        <v>0.47</v>
      </c>
      <c r="D60" s="21">
        <v>2.3220000000000001</v>
      </c>
      <c r="E60" s="21">
        <v>17.933</v>
      </c>
      <c r="F60" s="21">
        <v>4.4279999999999999</v>
      </c>
      <c r="G60" s="21">
        <v>4.843</v>
      </c>
      <c r="H60" s="21">
        <v>6.0830000000000002</v>
      </c>
      <c r="I60" s="22">
        <v>969</v>
      </c>
      <c r="J60" s="22">
        <v>0</v>
      </c>
    </row>
    <row r="61" spans="1:10" ht="14.25" customHeight="1" x14ac:dyDescent="0.35">
      <c r="A61" t="str">
        <v>11-getFlightDetailByFlightDateStdLclv3</v>
      </c>
      <c r="B61" s="22">
        <v>641</v>
      </c>
      <c r="C61" s="21">
        <v>7.7320000000000002</v>
      </c>
      <c r="D61" s="21">
        <v>19.082999999999998</v>
      </c>
      <c r="E61" s="21">
        <v>21.978999999999999</v>
      </c>
      <c r="F61" s="21">
        <v>20.106000000000002</v>
      </c>
      <c r="G61" s="21">
        <v>20.146000000000001</v>
      </c>
      <c r="H61" s="21">
        <v>20.574000000000002</v>
      </c>
      <c r="I61" s="22">
        <v>93.00269000000003</v>
      </c>
      <c r="J61" s="22">
        <v>547.99730999999997</v>
      </c>
    </row>
    <row r="62" spans="1:10" ht="14.25" customHeight="1" x14ac:dyDescent="0.35">
      <c r="A62" t="str">
        <v>12-downloadADCFICFile</v>
      </c>
      <c r="B62" s="22">
        <v>631</v>
      </c>
      <c r="C62" s="21">
        <v>0.47599999999999998</v>
      </c>
      <c r="D62" s="21">
        <v>3.8159999999999998</v>
      </c>
      <c r="E62" s="21">
        <v>13.708</v>
      </c>
      <c r="F62" s="21">
        <v>8.1969999999999992</v>
      </c>
      <c r="G62" s="21">
        <v>9.5500000000000007</v>
      </c>
      <c r="H62" s="21">
        <v>11.388999999999999</v>
      </c>
      <c r="I62" s="22">
        <v>631</v>
      </c>
      <c r="J62" s="22">
        <v>0</v>
      </c>
    </row>
    <row r="63" spans="1:10" ht="14.25" customHeight="1" x14ac:dyDescent="0.35">
      <c r="A63" t="str">
        <v>19-getFlightAllinfo</v>
      </c>
      <c r="B63" s="22">
        <v>625</v>
      </c>
      <c r="C63" s="21">
        <v>5.8979999999999997</v>
      </c>
      <c r="D63" s="21">
        <v>8.9510000000000005</v>
      </c>
      <c r="E63" s="21">
        <v>14.085000000000001</v>
      </c>
      <c r="F63" s="21">
        <v>10.340999999999999</v>
      </c>
      <c r="G63" s="21">
        <v>11.052</v>
      </c>
      <c r="H63" s="21">
        <v>12.14</v>
      </c>
      <c r="I63" s="22">
        <v>625</v>
      </c>
      <c r="J63" s="22">
        <v>0</v>
      </c>
    </row>
    <row r="64" spans="1:10" ht="14.25" customHeight="1" x14ac:dyDescent="0.35">
      <c r="A64" t="str">
        <v>25_3-passenger-reports</v>
      </c>
      <c r="B64" s="22">
        <v>614</v>
      </c>
      <c r="C64" s="21">
        <v>4.6449999999999996</v>
      </c>
      <c r="D64" s="21">
        <v>8.14</v>
      </c>
      <c r="E64" s="21">
        <v>16.193000000000001</v>
      </c>
      <c r="F64" s="21">
        <v>11.279</v>
      </c>
      <c r="G64" s="21">
        <v>12.304</v>
      </c>
      <c r="H64" s="21">
        <v>14.044</v>
      </c>
      <c r="I64" s="22">
        <v>614</v>
      </c>
      <c r="J64" s="22">
        <v>0</v>
      </c>
    </row>
    <row r="65" spans="1:10" ht="14.25" customHeight="1" x14ac:dyDescent="0.35">
      <c r="A65" t="str">
        <v>25-listPassengersByFlight</v>
      </c>
      <c r="B65" s="22">
        <v>616</v>
      </c>
      <c r="C65" s="21">
        <v>4.5259999999999998</v>
      </c>
      <c r="D65" s="21">
        <v>5.819</v>
      </c>
      <c r="E65" s="21">
        <v>8.3789999999999996</v>
      </c>
      <c r="F65" s="21">
        <v>6.673</v>
      </c>
      <c r="G65" s="21">
        <v>7.0880000000000001</v>
      </c>
      <c r="H65" s="21">
        <v>8.0250000000000004</v>
      </c>
      <c r="I65" s="22">
        <v>616</v>
      </c>
      <c r="J65" s="22">
        <v>0</v>
      </c>
    </row>
    <row r="66" spans="1:10" ht="14.25" customHeight="1" x14ac:dyDescent="0.35">
      <c r="A66" t="str">
        <v>26-getFuelDashboard</v>
      </c>
      <c r="B66" s="22">
        <v>603</v>
      </c>
      <c r="C66" s="21">
        <v>0.34100000000000003</v>
      </c>
      <c r="D66" s="21">
        <v>1.9139999999999999</v>
      </c>
      <c r="E66" s="21">
        <v>7.9029999999999996</v>
      </c>
      <c r="F66" s="21">
        <v>3.6840000000000002</v>
      </c>
      <c r="G66" s="21">
        <v>4.2359999999999998</v>
      </c>
      <c r="H66" s="21">
        <v>5.5949999999999998</v>
      </c>
      <c r="I66" s="22">
        <v>603</v>
      </c>
      <c r="J66" s="22">
        <v>0</v>
      </c>
    </row>
    <row r="67" spans="1:10" ht="14.25" customHeight="1" x14ac:dyDescent="0.35">
      <c r="A67" t="str">
        <v>52-getFlightChart</v>
      </c>
      <c r="B67" s="22">
        <v>64</v>
      </c>
      <c r="C67" s="21">
        <v>1.1359999999999999</v>
      </c>
      <c r="D67" s="21">
        <v>3.73</v>
      </c>
      <c r="E67" s="21">
        <v>10.226000000000001</v>
      </c>
      <c r="F67" s="21">
        <v>6.4290000000000003</v>
      </c>
      <c r="G67" s="21">
        <v>7.6989999999999998</v>
      </c>
      <c r="H67" s="21">
        <v>9.6950000000000003</v>
      </c>
      <c r="I67" s="22">
        <v>64</v>
      </c>
      <c r="J67" s="22">
        <v>0</v>
      </c>
    </row>
    <row r="68" spans="1:10" ht="14.25" customHeight="1" x14ac:dyDescent="0.35">
      <c r="A68" t="str">
        <v>66-NotamDailyReportDashboard</v>
      </c>
      <c r="B68" s="22">
        <v>62</v>
      </c>
      <c r="C68" s="21">
        <v>3.8439999999999999</v>
      </c>
      <c r="D68" s="21">
        <v>4.29</v>
      </c>
      <c r="E68" s="21">
        <v>6.4180000000000001</v>
      </c>
      <c r="F68" s="21">
        <v>4.7039999999999997</v>
      </c>
      <c r="G68" s="21">
        <v>4.8339999999999996</v>
      </c>
      <c r="H68" s="21">
        <v>4.8550000000000004</v>
      </c>
      <c r="I68" s="22">
        <v>62</v>
      </c>
      <c r="J68" s="22">
        <v>0</v>
      </c>
    </row>
    <row r="69" spans="1:10" ht="14.25" customHeight="1" x14ac:dyDescent="0.35">
      <c r="B69" s="22"/>
      <c r="C69" s="21"/>
      <c r="D69" s="21"/>
      <c r="E69" s="21"/>
      <c r="F69" s="21"/>
      <c r="G69" s="21"/>
      <c r="H69" s="21"/>
      <c r="I69" s="22"/>
      <c r="J69" s="22"/>
    </row>
    <row r="70" spans="1:10" ht="14.25" customHeight="1" x14ac:dyDescent="0.35">
      <c r="B70" s="22"/>
      <c r="C70" s="21"/>
      <c r="D70" s="21"/>
      <c r="E70" s="21"/>
      <c r="F70" s="21"/>
      <c r="G70" s="21"/>
      <c r="H70" s="21"/>
      <c r="I70" s="22"/>
      <c r="J70" s="22"/>
    </row>
    <row r="71" spans="1:10" ht="14.25" customHeight="1" x14ac:dyDescent="0.35">
      <c r="B71" s="22"/>
      <c r="C71" s="21"/>
      <c r="D71" s="21"/>
      <c r="E71" s="21"/>
      <c r="F71" s="21"/>
      <c r="G71" s="21"/>
      <c r="H71" s="21"/>
      <c r="I71" s="22"/>
      <c r="J71" s="22"/>
    </row>
    <row r="72" spans="1:10" ht="14.25" customHeight="1" x14ac:dyDescent="0.35">
      <c r="B72" s="22"/>
      <c r="C72" s="21"/>
      <c r="D72" s="21"/>
      <c r="E72" s="21"/>
      <c r="F72" s="21"/>
      <c r="G72" s="21"/>
      <c r="H72" s="21"/>
      <c r="I72" s="22"/>
      <c r="J72" s="22"/>
    </row>
    <row r="73" spans="1:10" ht="14.25" customHeight="1" x14ac:dyDescent="0.35">
      <c r="B73" s="22"/>
      <c r="C73" s="21"/>
      <c r="D73" s="21"/>
      <c r="E73" s="21"/>
      <c r="F73" s="21"/>
      <c r="G73" s="21"/>
      <c r="H73" s="21"/>
      <c r="I73" s="22"/>
      <c r="J73" s="22"/>
    </row>
    <row r="74" spans="1:10" ht="14.25" customHeight="1" x14ac:dyDescent="0.35">
      <c r="B74" s="22"/>
      <c r="C74" s="21"/>
      <c r="D74" s="21"/>
      <c r="E74" s="21"/>
      <c r="F74" s="21"/>
      <c r="G74" s="21"/>
      <c r="H74" s="21"/>
      <c r="I74" s="22"/>
      <c r="J74" s="22"/>
    </row>
    <row r="75" spans="1:10" ht="14.25" customHeight="1" x14ac:dyDescent="0.35">
      <c r="B75" s="22"/>
      <c r="C75" s="21"/>
      <c r="D75" s="21"/>
      <c r="E75" s="21"/>
      <c r="F75" s="21"/>
      <c r="G75" s="21"/>
      <c r="H75" s="21"/>
      <c r="I75" s="22"/>
      <c r="J75" s="22"/>
    </row>
    <row r="76" spans="1:10" ht="14.25" customHeight="1" x14ac:dyDescent="0.35">
      <c r="B76" s="22"/>
      <c r="C76" s="21"/>
      <c r="D76" s="21"/>
      <c r="E76" s="21"/>
      <c r="F76" s="21"/>
      <c r="G76" s="21"/>
      <c r="H76" s="21"/>
      <c r="I76" s="22"/>
      <c r="J76" s="22"/>
    </row>
    <row r="77" spans="1:10" ht="14.25" customHeight="1" x14ac:dyDescent="0.35">
      <c r="B77" s="22"/>
      <c r="C77" s="21"/>
      <c r="D77" s="21"/>
      <c r="E77" s="21"/>
      <c r="F77" s="21"/>
      <c r="G77" s="21"/>
      <c r="H77" s="21"/>
      <c r="I77" s="22"/>
      <c r="J77" s="22"/>
    </row>
    <row r="78" spans="1:10" ht="14.25" customHeight="1" x14ac:dyDescent="0.35">
      <c r="B78" s="22"/>
      <c r="C78" s="21"/>
      <c r="D78" s="21"/>
      <c r="E78" s="21"/>
      <c r="F78" s="21"/>
      <c r="G78" s="21"/>
      <c r="H78" s="21"/>
      <c r="I78" s="22"/>
      <c r="J78" s="22"/>
    </row>
    <row r="79" spans="1:10" ht="14.25" customHeight="1" x14ac:dyDescent="0.35">
      <c r="B79" s="22"/>
      <c r="C79" s="21"/>
      <c r="D79" s="21"/>
      <c r="E79" s="21"/>
      <c r="F79" s="21"/>
      <c r="G79" s="21"/>
      <c r="H79" s="21"/>
      <c r="I79" s="22"/>
      <c r="J79" s="22"/>
    </row>
    <row r="80" spans="1:10" ht="14.25" customHeight="1" x14ac:dyDescent="0.35">
      <c r="B80" s="22"/>
      <c r="C80" s="21"/>
      <c r="D80" s="21"/>
      <c r="E80" s="21"/>
      <c r="F80" s="21"/>
      <c r="G80" s="21"/>
      <c r="H80" s="21"/>
      <c r="I80" s="22"/>
      <c r="J80" s="22"/>
    </row>
    <row r="81" spans="2:10" ht="14.25" customHeight="1" x14ac:dyDescent="0.35">
      <c r="B81" s="22"/>
      <c r="C81" s="21"/>
      <c r="D81" s="21"/>
      <c r="E81" s="21"/>
      <c r="F81" s="21"/>
      <c r="G81" s="21"/>
      <c r="H81" s="21"/>
      <c r="I81" s="22"/>
      <c r="J81" s="22"/>
    </row>
    <row r="82" spans="2:10" ht="14.25" customHeight="1" x14ac:dyDescent="0.35">
      <c r="B82" s="22"/>
      <c r="C82" s="21"/>
      <c r="D82" s="21"/>
      <c r="E82" s="21"/>
      <c r="F82" s="21"/>
      <c r="G82" s="21"/>
      <c r="H82" s="21"/>
      <c r="I82" s="22"/>
      <c r="J82" s="22"/>
    </row>
    <row r="83" spans="2:10" ht="14.25" customHeight="1" x14ac:dyDescent="0.35">
      <c r="B83" s="22"/>
      <c r="C83" s="21"/>
      <c r="D83" s="21"/>
      <c r="E83" s="21"/>
      <c r="F83" s="21"/>
      <c r="G83" s="21"/>
      <c r="H83" s="21"/>
      <c r="I83" s="22"/>
      <c r="J83" s="22"/>
    </row>
    <row r="84" spans="2:10" ht="14.25" customHeight="1" x14ac:dyDescent="0.35">
      <c r="B84" s="22"/>
      <c r="C84" s="21"/>
      <c r="D84" s="21"/>
      <c r="E84" s="21"/>
      <c r="F84" s="21"/>
      <c r="G84" s="21"/>
      <c r="H84" s="21"/>
      <c r="I84" s="22"/>
      <c r="J84" s="22"/>
    </row>
    <row r="85" spans="2:10" ht="14.25" customHeight="1" x14ac:dyDescent="0.35">
      <c r="B85" s="22"/>
      <c r="C85" s="21"/>
      <c r="D85" s="21"/>
      <c r="E85" s="21"/>
      <c r="F85" s="21"/>
      <c r="G85" s="21"/>
      <c r="H85" s="21"/>
      <c r="I85" s="22"/>
      <c r="J85" s="22"/>
    </row>
    <row r="86" spans="2:10" ht="14.25" customHeight="1" x14ac:dyDescent="0.35">
      <c r="B86" s="22"/>
      <c r="C86" s="21"/>
      <c r="D86" s="21"/>
      <c r="E86" s="21"/>
      <c r="F86" s="21"/>
      <c r="G86" s="21"/>
      <c r="H86" s="21"/>
      <c r="I86" s="22"/>
      <c r="J86" s="22"/>
    </row>
    <row r="87" spans="2:10" ht="14.25" customHeight="1" x14ac:dyDescent="0.35">
      <c r="B87" s="22"/>
      <c r="C87" s="21"/>
      <c r="D87" s="21"/>
      <c r="E87" s="21"/>
      <c r="F87" s="21"/>
      <c r="G87" s="21"/>
      <c r="H87" s="21"/>
      <c r="I87" s="22"/>
      <c r="J87" s="22"/>
    </row>
    <row r="88" spans="2:10" ht="14.25" customHeight="1" x14ac:dyDescent="0.35">
      <c r="B88" s="22"/>
      <c r="C88" s="21"/>
      <c r="D88" s="21"/>
      <c r="E88" s="21"/>
      <c r="F88" s="21"/>
      <c r="G88" s="21"/>
      <c r="H88" s="21"/>
      <c r="I88" s="22"/>
      <c r="J88" s="22"/>
    </row>
    <row r="89" spans="2:10" ht="14.25" customHeight="1" x14ac:dyDescent="0.35">
      <c r="B89" s="22"/>
      <c r="C89" s="21"/>
      <c r="D89" s="21"/>
      <c r="E89" s="21"/>
      <c r="F89" s="21"/>
      <c r="G89" s="21"/>
      <c r="H89" s="21"/>
      <c r="I89" s="22"/>
      <c r="J89" s="22"/>
    </row>
    <row r="90" spans="2:10" ht="14.25" customHeight="1" x14ac:dyDescent="0.35">
      <c r="B90" s="22"/>
      <c r="C90" s="21"/>
      <c r="D90" s="21"/>
      <c r="E90" s="21"/>
      <c r="F90" s="21"/>
      <c r="G90" s="21"/>
      <c r="H90" s="21"/>
      <c r="I90" s="22"/>
      <c r="J90" s="22"/>
    </row>
    <row r="91" spans="2:10" ht="14.25" customHeight="1" x14ac:dyDescent="0.35">
      <c r="B91" s="22"/>
      <c r="C91" s="21"/>
      <c r="D91" s="21"/>
      <c r="E91" s="21"/>
      <c r="F91" s="21"/>
      <c r="G91" s="21"/>
      <c r="H91" s="21"/>
      <c r="I91" s="22"/>
      <c r="J91" s="22"/>
    </row>
    <row r="92" spans="2:10" ht="14.25" customHeight="1" x14ac:dyDescent="0.35">
      <c r="B92" s="22"/>
      <c r="C92" s="21"/>
      <c r="D92" s="21"/>
      <c r="E92" s="21"/>
      <c r="F92" s="21"/>
      <c r="G92" s="21"/>
      <c r="H92" s="21"/>
      <c r="I92" s="22"/>
      <c r="J92" s="22"/>
    </row>
    <row r="93" spans="2:10" ht="14.25" customHeight="1" x14ac:dyDescent="0.35">
      <c r="B93" s="22"/>
      <c r="C93" s="21"/>
      <c r="D93" s="21"/>
      <c r="E93" s="21"/>
      <c r="F93" s="21"/>
      <c r="G93" s="21"/>
      <c r="H93" s="21"/>
      <c r="I93" s="22"/>
      <c r="J93" s="22"/>
    </row>
    <row r="94" spans="2:10" ht="14.25" customHeight="1" x14ac:dyDescent="0.35">
      <c r="B94" s="22"/>
      <c r="C94" s="21"/>
      <c r="D94" s="21"/>
      <c r="E94" s="21"/>
      <c r="F94" s="21"/>
      <c r="G94" s="21"/>
      <c r="H94" s="21"/>
      <c r="I94" s="22"/>
      <c r="J94" s="22"/>
    </row>
    <row r="95" spans="2:10" ht="14.25" customHeight="1" x14ac:dyDescent="0.35">
      <c r="B95" s="22"/>
      <c r="C95" s="21"/>
      <c r="D95" s="21"/>
      <c r="E95" s="21"/>
      <c r="F95" s="21"/>
      <c r="G95" s="21"/>
      <c r="H95" s="21"/>
      <c r="I95" s="22"/>
      <c r="J95" s="22"/>
    </row>
    <row r="96" spans="2:10" ht="14.25" customHeight="1" x14ac:dyDescent="0.35">
      <c r="B96" s="22"/>
      <c r="C96" s="21"/>
      <c r="D96" s="21"/>
      <c r="E96" s="21"/>
      <c r="F96" s="21"/>
      <c r="G96" s="21"/>
      <c r="H96" s="21"/>
      <c r="I96" s="22"/>
      <c r="J96" s="22"/>
    </row>
    <row r="97" spans="2:10" ht="14.25" customHeight="1" x14ac:dyDescent="0.35">
      <c r="B97" s="22"/>
      <c r="C97" s="21"/>
      <c r="D97" s="21"/>
      <c r="E97" s="21"/>
      <c r="F97" s="21"/>
      <c r="G97" s="21"/>
      <c r="H97" s="21"/>
      <c r="I97" s="22"/>
      <c r="J97" s="22"/>
    </row>
    <row r="98" spans="2:10" ht="14.25" customHeight="1" x14ac:dyDescent="0.35">
      <c r="B98" s="22"/>
      <c r="C98" s="21"/>
      <c r="D98" s="21"/>
      <c r="E98" s="21"/>
      <c r="F98" s="21"/>
      <c r="G98" s="21"/>
      <c r="H98" s="21"/>
      <c r="I98" s="22"/>
      <c r="J98" s="22"/>
    </row>
    <row r="99" spans="2:10" ht="14.25" customHeight="1" x14ac:dyDescent="0.35">
      <c r="B99" s="22"/>
      <c r="C99" s="21"/>
      <c r="D99" s="21"/>
      <c r="E99" s="21"/>
      <c r="F99" s="21"/>
      <c r="G99" s="21"/>
      <c r="H99" s="21"/>
      <c r="I99" s="22"/>
      <c r="J99" s="22"/>
    </row>
    <row r="100" spans="2:10" ht="14.25" customHeight="1" x14ac:dyDescent="0.35">
      <c r="B100" s="22"/>
      <c r="C100" s="21"/>
      <c r="D100" s="21"/>
      <c r="E100" s="21"/>
      <c r="F100" s="21"/>
      <c r="G100" s="21"/>
      <c r="H100" s="21"/>
      <c r="I100" s="22"/>
      <c r="J100" s="22"/>
    </row>
    <row r="101" spans="2:10" ht="15" customHeight="1" x14ac:dyDescent="0.35">
      <c r="B101" s="22"/>
      <c r="C101" s="21"/>
      <c r="D101" s="21"/>
      <c r="E101" s="21"/>
      <c r="F101" s="21"/>
      <c r="G101" s="21"/>
      <c r="H101" s="21"/>
      <c r="I101" s="22"/>
      <c r="J101" s="22"/>
    </row>
    <row r="102" spans="2:10" ht="15" customHeight="1" x14ac:dyDescent="0.35">
      <c r="B102" s="22"/>
      <c r="C102" s="21"/>
      <c r="D102" s="21"/>
      <c r="E102" s="21"/>
      <c r="F102" s="21"/>
      <c r="G102" s="21"/>
      <c r="H102" s="21"/>
      <c r="I102" s="22"/>
      <c r="J102" s="22"/>
    </row>
    <row r="103" spans="2:10" ht="15" customHeight="1" x14ac:dyDescent="0.35">
      <c r="B103" s="22"/>
      <c r="C103" s="21"/>
      <c r="D103" s="21"/>
      <c r="E103" s="21"/>
      <c r="F103" s="21"/>
      <c r="G103" s="21"/>
      <c r="H103" s="21"/>
      <c r="I103" s="22"/>
      <c r="J103" s="22"/>
    </row>
    <row r="104" spans="2:10" ht="15" customHeight="1" x14ac:dyDescent="0.35">
      <c r="B104" s="22"/>
      <c r="C104" s="21"/>
      <c r="D104" s="21"/>
      <c r="E104" s="21"/>
      <c r="F104" s="21"/>
      <c r="G104" s="21"/>
      <c r="H104" s="21"/>
      <c r="I104" s="22"/>
      <c r="J104" s="22"/>
    </row>
    <row r="105" spans="2:10" ht="15" customHeight="1" x14ac:dyDescent="0.35">
      <c r="B105" s="22"/>
      <c r="C105" s="21"/>
      <c r="D105" s="21"/>
      <c r="E105" s="21"/>
      <c r="F105" s="21"/>
      <c r="G105" s="21"/>
      <c r="H105" s="21"/>
      <c r="I105" s="22"/>
      <c r="J105" s="22"/>
    </row>
    <row r="106" spans="2:10" ht="15" customHeight="1" x14ac:dyDescent="0.35">
      <c r="B106" s="22"/>
      <c r="C106" s="22"/>
      <c r="D106" s="22"/>
      <c r="E106" s="22"/>
      <c r="F106" s="22"/>
      <c r="G106" s="22"/>
      <c r="H106" s="22"/>
      <c r="I106" s="22"/>
      <c r="J106" s="22"/>
    </row>
    <row r="107" spans="2:10" ht="15" customHeight="1" x14ac:dyDescent="0.35">
      <c r="B107" s="22"/>
      <c r="C107" s="22"/>
      <c r="D107" s="22"/>
      <c r="E107" s="22"/>
      <c r="F107" s="22"/>
      <c r="G107" s="22"/>
      <c r="H107" s="22"/>
      <c r="I107" s="22"/>
      <c r="J107" s="22"/>
    </row>
  </sheetData>
  <mergeCells count="2">
    <mergeCell ref="D55:E55"/>
    <mergeCell ref="D10:E10"/>
  </mergeCells>
  <conditionalFormatting sqref="A13:J52">
    <cfRule type="expression" dxfId="1" priority="2">
      <formula>$A13&lt;&gt;""</formula>
    </cfRule>
  </conditionalFormatting>
  <conditionalFormatting sqref="A58:J115">
    <cfRule type="expression" dxfId="0" priority="1">
      <formula>$A58&lt;&gt;""</formula>
    </cfRule>
  </conditionalFormatting>
  <pageMargins left="0.7" right="0.7" top="0.75" bottom="0.75" header="0" footer="0"/>
  <pageSetup orientation="portrait"/>
  <headerFooter>
    <oddFooter>&amp;C_x000D_&amp;1#&amp;"Aptos"&amp;10&amp;K000000 Air India General - Internal use only</oddFooter>
  </headerFooter>
  <ignoredErrors>
    <ignoredError sqref="A78:J151 A21:J43 A58 A13" emptyCellReference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200-000000000000}">
          <x14:formula1>
            <xm:f>Test_Report!A2:A149</xm:f>
          </x14:formula1>
          <xm:sqref>A4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0"/>
  <sheetViews>
    <sheetView workbookViewId="0">
      <selection activeCell="D3" sqref="D3"/>
    </sheetView>
  </sheetViews>
  <sheetFormatPr defaultColWidth="14.453125" defaultRowHeight="15" customHeight="1" x14ac:dyDescent="0.35"/>
  <cols>
    <col min="1" max="1" width="21.453125" customWidth="1"/>
    <col min="2" max="2" width="14.453125" customWidth="1"/>
    <col min="3" max="3" width="9.26953125" customWidth="1"/>
    <col min="4" max="4" width="19.7265625" customWidth="1"/>
    <col min="5" max="5" width="14.453125" customWidth="1"/>
    <col min="6" max="6" width="9.453125" customWidth="1"/>
    <col min="7" max="7" width="16.26953125" customWidth="1"/>
    <col min="8" max="11" width="8.7265625" customWidth="1"/>
  </cols>
  <sheetData>
    <row r="1" spans="1:7" ht="14.25" customHeight="1" x14ac:dyDescent="0.35">
      <c r="A1" t="s">
        <v>17</v>
      </c>
      <c r="D1" t="s">
        <v>18</v>
      </c>
    </row>
    <row r="2" spans="1:7" ht="19" customHeight="1" x14ac:dyDescent="0.55000000000000004">
      <c r="A2" t="s">
        <v>19</v>
      </c>
      <c r="B2" s="11">
        <f>SUM(Test_Report!I2:I556)/SUM(Test_Report!B2:B556)</f>
        <v>0.94670615843691786</v>
      </c>
      <c r="D2" s="14" t="s">
        <v>0</v>
      </c>
      <c r="E2" s="14" t="s">
        <v>1</v>
      </c>
      <c r="F2" s="14" t="s">
        <v>14</v>
      </c>
      <c r="G2" s="13" t="s">
        <v>20</v>
      </c>
    </row>
    <row r="3" spans="1:7" ht="14.25" customHeight="1" x14ac:dyDescent="0.35">
      <c r="A3" t="s">
        <v>9</v>
      </c>
      <c r="B3" s="11">
        <f>SUM(Test_Report!J2:J71)/SUM(Test_Report!B2:B71)</f>
        <v>5.3293841563082069E-2</v>
      </c>
      <c r="D3" t="str" cm="1">
        <f t="array" ref="D3:F8">_xlfn._xlws.FILTER(CHOOSE({1,2,3}, Test_Report!A2:A150, Test_Report!B2:B150, Test_Report!J2:J150), Test_Report!J2:J150&gt;=1)</f>
        <v>01-getControlBoard</v>
      </c>
      <c r="E3" s="1">
        <v>993</v>
      </c>
      <c r="F3" s="1">
        <v>787.00215000000003</v>
      </c>
      <c r="G3" s="2">
        <f t="shared" ref="G3:G17" si="0">F3/E3</f>
        <v>0.79254999999999998</v>
      </c>
    </row>
    <row r="4" spans="1:7" ht="14.25" customHeight="1" x14ac:dyDescent="0.35">
      <c r="D4" t="str">
        <v>05-getCFGCrewDetails</v>
      </c>
      <c r="E4" s="1">
        <v>971</v>
      </c>
      <c r="F4" s="1">
        <v>1.0001300000000002</v>
      </c>
      <c r="G4" s="2">
        <f t="shared" si="0"/>
        <v>1.0300000000000001E-3</v>
      </c>
    </row>
    <row r="5" spans="1:7" ht="14.25" customHeight="1" x14ac:dyDescent="0.35">
      <c r="D5" t="str">
        <v>11-getFlightDetailByFlightDateStdLclv3</v>
      </c>
      <c r="E5" s="1">
        <v>641</v>
      </c>
      <c r="F5" s="1">
        <v>547.99730999999997</v>
      </c>
      <c r="G5" s="2">
        <f t="shared" si="0"/>
        <v>0.85490999999999995</v>
      </c>
    </row>
    <row r="6" spans="1:7" ht="14.25" customHeight="1" x14ac:dyDescent="0.35">
      <c r="B6" s="1"/>
      <c r="C6" s="1"/>
      <c r="D6" t="str">
        <v>27-getFuelCompDataForId</v>
      </c>
      <c r="E6" s="1">
        <v>603</v>
      </c>
      <c r="F6" s="1">
        <v>1.00098</v>
      </c>
      <c r="G6" s="2">
        <f t="shared" si="0"/>
        <v>1.66E-3</v>
      </c>
    </row>
    <row r="7" spans="1:7" ht="14.25" customHeight="1" x14ac:dyDescent="0.35">
      <c r="B7" s="1"/>
      <c r="C7" s="1"/>
      <c r="D7" t="str">
        <v>78-CateringManager_pinFlight</v>
      </c>
      <c r="E7" s="1">
        <v>247</v>
      </c>
      <c r="F7" s="1">
        <v>65.000519999999995</v>
      </c>
      <c r="G7" s="2">
        <f t="shared" si="0"/>
        <v>0.26316000000000001</v>
      </c>
    </row>
    <row r="8" spans="1:7" ht="14.25" customHeight="1" x14ac:dyDescent="0.35">
      <c r="B8" s="1"/>
      <c r="C8" s="1"/>
      <c r="D8" t="str">
        <v>Total</v>
      </c>
      <c r="E8" s="1">
        <v>26307</v>
      </c>
      <c r="F8" s="1">
        <v>1402.00109</v>
      </c>
      <c r="G8" s="2">
        <f t="shared" si="0"/>
        <v>5.3293841563082069E-2</v>
      </c>
    </row>
    <row r="9" spans="1:7" ht="14.25" customHeight="1" x14ac:dyDescent="0.35">
      <c r="B9" s="1"/>
      <c r="C9" s="1"/>
      <c r="G9" s="2" t="e">
        <f t="shared" si="0"/>
        <v>#DIV/0!</v>
      </c>
    </row>
    <row r="10" spans="1:7" ht="14.25" customHeight="1" x14ac:dyDescent="0.35">
      <c r="B10" s="1"/>
      <c r="C10" s="1"/>
      <c r="G10" s="2" t="e">
        <f t="shared" si="0"/>
        <v>#DIV/0!</v>
      </c>
    </row>
    <row r="11" spans="1:7" ht="14.25" customHeight="1" x14ac:dyDescent="0.35">
      <c r="B11" s="1"/>
      <c r="C11" s="1"/>
      <c r="G11" s="2" t="e">
        <f t="shared" si="0"/>
        <v>#DIV/0!</v>
      </c>
    </row>
    <row r="12" spans="1:7" ht="14.25" customHeight="1" x14ac:dyDescent="0.35">
      <c r="B12" s="1"/>
      <c r="C12" s="1"/>
      <c r="G12" s="2" t="e">
        <f t="shared" si="0"/>
        <v>#DIV/0!</v>
      </c>
    </row>
    <row r="13" spans="1:7" ht="14.25" customHeight="1" x14ac:dyDescent="0.35">
      <c r="B13" s="1"/>
      <c r="C13" s="1"/>
      <c r="G13" s="2" t="e">
        <f t="shared" si="0"/>
        <v>#DIV/0!</v>
      </c>
    </row>
    <row r="14" spans="1:7" ht="14.25" customHeight="1" x14ac:dyDescent="0.35">
      <c r="B14" s="1"/>
      <c r="C14" s="1"/>
      <c r="G14" s="2" t="e">
        <f t="shared" si="0"/>
        <v>#DIV/0!</v>
      </c>
    </row>
    <row r="15" spans="1:7" ht="14.25" customHeight="1" x14ac:dyDescent="0.35">
      <c r="B15" s="1"/>
      <c r="C15" s="1"/>
      <c r="G15" s="2" t="e">
        <f t="shared" si="0"/>
        <v>#DIV/0!</v>
      </c>
    </row>
    <row r="16" spans="1:7" ht="14.25" customHeight="1" x14ac:dyDescent="0.35">
      <c r="B16" s="1"/>
      <c r="C16" s="1"/>
      <c r="G16" s="2" t="e">
        <f t="shared" si="0"/>
        <v>#DIV/0!</v>
      </c>
    </row>
    <row r="17" spans="2:7" ht="14.25" customHeight="1" x14ac:dyDescent="0.35">
      <c r="B17" s="1"/>
      <c r="C17" s="1"/>
      <c r="G17" s="2" t="e">
        <f t="shared" si="0"/>
        <v>#DIV/0!</v>
      </c>
    </row>
    <row r="18" spans="2:7" ht="14.25" customHeight="1" x14ac:dyDescent="0.35">
      <c r="B18" s="1"/>
      <c r="C18" s="1"/>
    </row>
    <row r="19" spans="2:7" ht="14.25" customHeight="1" x14ac:dyDescent="0.35">
      <c r="B19" s="1"/>
      <c r="C19" s="1"/>
    </row>
    <row r="20" spans="2:7" ht="14.25" customHeight="1" x14ac:dyDescent="0.35">
      <c r="B20" s="1"/>
      <c r="C20" s="1"/>
    </row>
    <row r="21" spans="2:7" ht="14.25" customHeight="1" x14ac:dyDescent="0.35">
      <c r="B21" s="1"/>
      <c r="C21" s="1"/>
    </row>
    <row r="22" spans="2:7" ht="14.25" customHeight="1" x14ac:dyDescent="0.35">
      <c r="B22" s="1"/>
      <c r="C22" s="1"/>
    </row>
    <row r="23" spans="2:7" ht="14.25" customHeight="1" x14ac:dyDescent="0.35">
      <c r="B23" s="1"/>
      <c r="C23" s="1"/>
    </row>
    <row r="24" spans="2:7" ht="14.25" customHeight="1" x14ac:dyDescent="0.35">
      <c r="B24" s="1"/>
      <c r="C24" s="1"/>
    </row>
    <row r="25" spans="2:7" ht="14.25" customHeight="1" x14ac:dyDescent="0.35">
      <c r="B25" s="1"/>
      <c r="C25" s="1"/>
    </row>
    <row r="26" spans="2:7" ht="14.25" customHeight="1" x14ac:dyDescent="0.35">
      <c r="B26" s="1"/>
      <c r="C26" s="1"/>
    </row>
    <row r="27" spans="2:7" ht="14.25" customHeight="1" x14ac:dyDescent="0.35">
      <c r="B27" s="1"/>
      <c r="C27" s="1"/>
    </row>
    <row r="28" spans="2:7" ht="14.25" customHeight="1" x14ac:dyDescent="0.35">
      <c r="B28" s="1"/>
      <c r="C28" s="1"/>
    </row>
    <row r="29" spans="2:7" ht="14.25" customHeight="1" x14ac:dyDescent="0.35">
      <c r="B29" s="1"/>
      <c r="C29" s="1"/>
    </row>
    <row r="30" spans="2:7" ht="14.25" customHeight="1" x14ac:dyDescent="0.35">
      <c r="B30" s="1"/>
      <c r="C30" s="1"/>
    </row>
    <row r="31" spans="2:7" ht="14.25" customHeight="1" x14ac:dyDescent="0.35">
      <c r="B31" s="1"/>
      <c r="C31" s="1"/>
    </row>
    <row r="32" spans="2:7" ht="14.25" customHeight="1" x14ac:dyDescent="0.35">
      <c r="B32" s="1"/>
      <c r="C32" s="1"/>
    </row>
    <row r="33" spans="2:3" ht="14.25" customHeight="1" x14ac:dyDescent="0.35">
      <c r="B33" s="1"/>
      <c r="C33" s="1"/>
    </row>
    <row r="34" spans="2:3" ht="14.25" customHeight="1" x14ac:dyDescent="0.35">
      <c r="B34" s="1"/>
      <c r="C34" s="1"/>
    </row>
    <row r="35" spans="2:3" ht="14.25" customHeight="1" x14ac:dyDescent="0.35">
      <c r="B35" s="1"/>
      <c r="C35" s="1"/>
    </row>
    <row r="36" spans="2:3" ht="14.25" customHeight="1" x14ac:dyDescent="0.35">
      <c r="B36" s="1"/>
      <c r="C36" s="1"/>
    </row>
    <row r="37" spans="2:3" ht="14.25" customHeight="1" x14ac:dyDescent="0.35">
      <c r="B37" s="1"/>
      <c r="C37" s="1"/>
    </row>
    <row r="38" spans="2:3" ht="14.25" customHeight="1" x14ac:dyDescent="0.35">
      <c r="B38" s="1"/>
      <c r="C38" s="1"/>
    </row>
    <row r="39" spans="2:3" ht="14.25" customHeight="1" x14ac:dyDescent="0.35">
      <c r="B39" s="1"/>
      <c r="C39" s="1"/>
    </row>
    <row r="40" spans="2:3" ht="14.25" customHeight="1" x14ac:dyDescent="0.35">
      <c r="B40" s="1"/>
      <c r="C40" s="1"/>
    </row>
    <row r="41" spans="2:3" ht="14.25" customHeight="1" x14ac:dyDescent="0.35">
      <c r="B41" s="1"/>
      <c r="C41" s="1"/>
    </row>
    <row r="42" spans="2:3" ht="14.25" customHeight="1" x14ac:dyDescent="0.35">
      <c r="B42" s="1"/>
      <c r="C42" s="1"/>
    </row>
    <row r="43" spans="2:3" ht="14.25" customHeight="1" x14ac:dyDescent="0.35">
      <c r="B43" s="1"/>
      <c r="C43" s="1"/>
    </row>
    <row r="44" spans="2:3" ht="14.25" customHeight="1" x14ac:dyDescent="0.35">
      <c r="B44" s="1"/>
      <c r="C44" s="1"/>
    </row>
    <row r="45" spans="2:3" ht="14.25" customHeight="1" x14ac:dyDescent="0.35">
      <c r="B45" s="1"/>
      <c r="C45" s="1"/>
    </row>
    <row r="46" spans="2:3" ht="14.25" customHeight="1" x14ac:dyDescent="0.35">
      <c r="B46" s="1"/>
      <c r="C46" s="1"/>
    </row>
    <row r="47" spans="2:3" ht="14.25" customHeight="1" x14ac:dyDescent="0.35">
      <c r="B47" s="1"/>
      <c r="C47" s="1"/>
    </row>
    <row r="48" spans="2:3" ht="14.25" customHeight="1" x14ac:dyDescent="0.35">
      <c r="B48" s="1"/>
      <c r="C48" s="1"/>
    </row>
    <row r="49" spans="2:3" ht="14.25" customHeight="1" x14ac:dyDescent="0.35">
      <c r="B49" s="1"/>
      <c r="C49" s="1"/>
    </row>
    <row r="50" spans="2:3" ht="14.25" customHeight="1" x14ac:dyDescent="0.35">
      <c r="B50" s="1"/>
      <c r="C50" s="1"/>
    </row>
    <row r="51" spans="2:3" ht="14.25" customHeight="1" x14ac:dyDescent="0.35">
      <c r="B51" s="1"/>
      <c r="C51" s="1"/>
    </row>
    <row r="52" spans="2:3" ht="14.25" customHeight="1" x14ac:dyDescent="0.35">
      <c r="B52" s="1"/>
      <c r="C52" s="1"/>
    </row>
    <row r="53" spans="2:3" ht="14.25" customHeight="1" x14ac:dyDescent="0.35">
      <c r="B53" s="1"/>
      <c r="C53" s="1"/>
    </row>
    <row r="54" spans="2:3" ht="14.25" customHeight="1" x14ac:dyDescent="0.35">
      <c r="B54" s="1"/>
      <c r="C54" s="1"/>
    </row>
    <row r="55" spans="2:3" ht="14.25" customHeight="1" x14ac:dyDescent="0.35">
      <c r="B55" s="1"/>
      <c r="C55" s="1"/>
    </row>
    <row r="56" spans="2:3" ht="14.25" customHeight="1" x14ac:dyDescent="0.35">
      <c r="B56" s="1"/>
      <c r="C56" s="1"/>
    </row>
    <row r="57" spans="2:3" ht="14.25" customHeight="1" x14ac:dyDescent="0.35">
      <c r="B57" s="1"/>
      <c r="C57" s="1"/>
    </row>
    <row r="58" spans="2:3" ht="14.25" customHeight="1" x14ac:dyDescent="0.35">
      <c r="B58" s="1"/>
      <c r="C58" s="1"/>
    </row>
    <row r="59" spans="2:3" ht="14.25" customHeight="1" x14ac:dyDescent="0.35">
      <c r="B59" s="1"/>
      <c r="C59" s="1"/>
    </row>
    <row r="60" spans="2:3" ht="14.25" customHeight="1" x14ac:dyDescent="0.35">
      <c r="B60" s="1"/>
      <c r="C60" s="1"/>
    </row>
    <row r="61" spans="2:3" ht="14.25" customHeight="1" x14ac:dyDescent="0.35">
      <c r="B61" s="1"/>
      <c r="C61" s="1"/>
    </row>
    <row r="62" spans="2:3" ht="14.25" customHeight="1" x14ac:dyDescent="0.35">
      <c r="B62" s="1"/>
      <c r="C62" s="1"/>
    </row>
    <row r="63" spans="2:3" ht="14.25" customHeight="1" x14ac:dyDescent="0.35">
      <c r="B63" s="1"/>
      <c r="C63" s="1"/>
    </row>
    <row r="64" spans="2:3" ht="14.25" customHeight="1" x14ac:dyDescent="0.35">
      <c r="B64" s="1"/>
      <c r="C64" s="1"/>
    </row>
    <row r="65" spans="2:3" ht="14.25" customHeight="1" x14ac:dyDescent="0.35">
      <c r="B65" s="1"/>
      <c r="C65" s="1"/>
    </row>
    <row r="66" spans="2:3" ht="14.25" customHeight="1" x14ac:dyDescent="0.35">
      <c r="B66" s="1"/>
      <c r="C66" s="1"/>
    </row>
    <row r="67" spans="2:3" ht="14.25" customHeight="1" x14ac:dyDescent="0.35">
      <c r="B67" s="1"/>
      <c r="C67" s="1"/>
    </row>
    <row r="68" spans="2:3" ht="14.25" customHeight="1" x14ac:dyDescent="0.35">
      <c r="B68" s="1"/>
      <c r="C68" s="1"/>
    </row>
    <row r="69" spans="2:3" ht="14.25" customHeight="1" x14ac:dyDescent="0.35">
      <c r="B69" s="1"/>
      <c r="C69" s="1"/>
    </row>
    <row r="70" spans="2:3" ht="14.25" customHeight="1" x14ac:dyDescent="0.35">
      <c r="B70" s="1"/>
      <c r="C70" s="1"/>
    </row>
    <row r="71" spans="2:3" ht="14.25" customHeight="1" x14ac:dyDescent="0.35">
      <c r="B71" s="1"/>
      <c r="C71" s="1"/>
    </row>
    <row r="72" spans="2:3" ht="14.25" customHeight="1" x14ac:dyDescent="0.35">
      <c r="B72" s="1"/>
      <c r="C72" s="1"/>
    </row>
    <row r="73" spans="2:3" ht="14.25" customHeight="1" x14ac:dyDescent="0.35">
      <c r="B73" s="1"/>
      <c r="C73" s="1"/>
    </row>
    <row r="74" spans="2:3" ht="14.25" customHeight="1" x14ac:dyDescent="0.35">
      <c r="B74" s="1"/>
      <c r="C74" s="1"/>
    </row>
    <row r="75" spans="2:3" ht="14.25" customHeight="1" x14ac:dyDescent="0.35">
      <c r="B75" s="1"/>
      <c r="C75" s="1"/>
    </row>
    <row r="76" spans="2:3" ht="14.25" customHeight="1" x14ac:dyDescent="0.35">
      <c r="B76" s="1"/>
      <c r="C76" s="1"/>
    </row>
    <row r="77" spans="2:3" ht="14.25" customHeight="1" x14ac:dyDescent="0.35">
      <c r="B77" s="1"/>
      <c r="C77" s="1"/>
    </row>
    <row r="78" spans="2:3" ht="14.25" customHeight="1" x14ac:dyDescent="0.35">
      <c r="B78" s="1"/>
      <c r="C78" s="1"/>
    </row>
    <row r="79" spans="2:3" ht="14.25" customHeight="1" x14ac:dyDescent="0.35">
      <c r="B79" s="1"/>
      <c r="C79" s="1"/>
    </row>
    <row r="80" spans="2:3" ht="14.25" customHeight="1" x14ac:dyDescent="0.35">
      <c r="B80" s="1"/>
      <c r="C80" s="1"/>
    </row>
    <row r="81" spans="2:3" ht="14.25" customHeight="1" x14ac:dyDescent="0.35">
      <c r="B81" s="1"/>
      <c r="C81" s="1"/>
    </row>
    <row r="82" spans="2:3" ht="14.25" customHeight="1" x14ac:dyDescent="0.35">
      <c r="B82" s="1"/>
      <c r="C82" s="1"/>
    </row>
    <row r="83" spans="2:3" ht="14.25" customHeight="1" x14ac:dyDescent="0.35">
      <c r="B83" s="1"/>
      <c r="C83" s="1"/>
    </row>
    <row r="84" spans="2:3" ht="14.25" customHeight="1" x14ac:dyDescent="0.35">
      <c r="B84" s="1"/>
      <c r="C84" s="1"/>
    </row>
    <row r="85" spans="2:3" ht="14.25" customHeight="1" x14ac:dyDescent="0.35">
      <c r="B85" s="1"/>
      <c r="C85" s="1"/>
    </row>
    <row r="86" spans="2:3" ht="14.25" customHeight="1" x14ac:dyDescent="0.35">
      <c r="B86" s="1"/>
      <c r="C86" s="1"/>
    </row>
    <row r="87" spans="2:3" ht="14.25" customHeight="1" x14ac:dyDescent="0.35">
      <c r="B87" s="1"/>
      <c r="C87" s="1"/>
    </row>
    <row r="88" spans="2:3" ht="14.25" customHeight="1" x14ac:dyDescent="0.35">
      <c r="B88" s="1"/>
      <c r="C88" s="1"/>
    </row>
    <row r="89" spans="2:3" ht="14.25" customHeight="1" x14ac:dyDescent="0.35">
      <c r="B89" s="1"/>
      <c r="C89" s="1"/>
    </row>
    <row r="90" spans="2:3" ht="14.25" customHeight="1" x14ac:dyDescent="0.35">
      <c r="B90" s="1"/>
      <c r="C90" s="1"/>
    </row>
    <row r="91" spans="2:3" ht="14.25" customHeight="1" x14ac:dyDescent="0.35">
      <c r="B91" s="1"/>
      <c r="C91" s="1"/>
    </row>
    <row r="92" spans="2:3" ht="14.25" customHeight="1" x14ac:dyDescent="0.35">
      <c r="B92" s="1"/>
      <c r="C92" s="1"/>
    </row>
    <row r="93" spans="2:3" ht="14.25" customHeight="1" x14ac:dyDescent="0.35">
      <c r="B93" s="1"/>
      <c r="C93" s="1"/>
    </row>
    <row r="94" spans="2:3" ht="14.25" customHeight="1" x14ac:dyDescent="0.35">
      <c r="B94" s="1"/>
      <c r="C94" s="1"/>
    </row>
    <row r="95" spans="2:3" ht="14.25" customHeight="1" x14ac:dyDescent="0.35">
      <c r="B95" s="1"/>
      <c r="C95" s="1"/>
    </row>
    <row r="96" spans="2:3" ht="14.25" customHeight="1" x14ac:dyDescent="0.35">
      <c r="B96" s="1"/>
      <c r="C96" s="1"/>
    </row>
    <row r="97" spans="2:3" ht="14.25" customHeight="1" x14ac:dyDescent="0.35">
      <c r="B97" s="1"/>
      <c r="C97" s="1"/>
    </row>
    <row r="98" spans="2:3" ht="14.25" customHeight="1" x14ac:dyDescent="0.35">
      <c r="B98" s="1"/>
      <c r="C98" s="1"/>
    </row>
    <row r="99" spans="2:3" ht="14.25" customHeight="1" x14ac:dyDescent="0.35">
      <c r="B99" s="1"/>
      <c r="C99" s="1"/>
    </row>
    <row r="100" spans="2:3" ht="14.25" customHeight="1" x14ac:dyDescent="0.35">
      <c r="B100" s="1"/>
      <c r="C100" s="1"/>
    </row>
  </sheetData>
  <pageMargins left="0.7" right="0.7" top="0.75" bottom="0.75" header="0" footer="0"/>
  <pageSetup orientation="landscape"/>
  <headerFooter>
    <oddFooter>&amp;C_x000D_&amp;1#&amp;"Aptos"&amp;10&amp;K000000 Air India General - Internal use only</oddFooter>
  </headerFooter>
</worksheet>
</file>

<file path=docMetadata/LabelInfo.xml><?xml version="1.0" encoding="utf-8"?>
<clbl:labelList xmlns:clbl="http://schemas.microsoft.com/office/2020/mipLabelMetadata">
  <clbl:label id="{fc627367-8bb7-4ccb-accc-dcf8fe2e1aa0}" enabled="1" method="Standard" siteId="{41591cc6-574f-45d5-819b-9a4773330ae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Aggregate Report</vt:lpstr>
      <vt:lpstr>Test_Report</vt:lpstr>
      <vt:lpstr>Failed_APIs_Report</vt:lpstr>
      <vt:lpstr>Graphs_Summary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Akheem</dc:creator>
  <cp:lastModifiedBy>Akheem Pasha</cp:lastModifiedBy>
  <dcterms:created xsi:type="dcterms:W3CDTF">2025-12-25T15:55:26Z</dcterms:created>
  <dcterms:modified xsi:type="dcterms:W3CDTF">2025-12-26T07:00:20Z</dcterms:modified>
</cp:coreProperties>
</file>