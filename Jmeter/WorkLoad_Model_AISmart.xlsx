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AirIndia_Applications\AISmart_Application\"/>
    </mc:Choice>
  </mc:AlternateContent>
  <xr:revisionPtr revIDLastSave="0" documentId="13_ncr:1_{FE3D3EB7-832C-4C60-92B4-61ADCCF303A4}" xr6:coauthVersionLast="47" xr6:coauthVersionMax="47" xr10:uidLastSave="{00000000-0000-0000-0000-000000000000}"/>
  <bookViews>
    <workbookView xWindow="-110" yWindow="-110" windowWidth="19420" windowHeight="10300" tabRatio="891" activeTab="2" xr2:uid="{59403E03-2926-48D9-9F11-2274F2379248}"/>
  </bookViews>
  <sheets>
    <sheet name="Document Control" sheetId="8" r:id="rId1"/>
    <sheet name="Project Overview" sheetId="7" r:id="rId2"/>
    <sheet name="Facts &amp; Consideration" sheetId="6" r:id="rId3"/>
    <sheet name="Business Scenario" sheetId="34" r:id="rId4"/>
    <sheet name="PageLevelDistribution" sheetId="37" r:id="rId5"/>
    <sheet name="Work Load Mix-PeakLoad" sheetId="35" r:id="rId6"/>
    <sheet name="Test Scenarios" sheetId="2" r:id="rId7"/>
  </sheets>
  <externalReferences>
    <externalReference r:id="rId8"/>
  </externalReferences>
  <definedNames>
    <definedName name="_Toc139665495" localSheetId="6">'Test Scenarios'!#REF!</definedName>
    <definedName name="_Toc185826750" localSheetId="6">'Test Scenarios'!#REF!</definedName>
    <definedName name="_Toc277595909" localSheetId="6">'Test Scenarios'!#REF!</definedName>
    <definedName name="_Toc277595910" localSheetId="6">'Test Scenarios'!#REF!</definedName>
    <definedName name="_Toc277595911" localSheetId="6">'Test Scenarios'!#REF!</definedName>
    <definedName name="_Toc277595914" localSheetId="6">'Test Scenarios'!#REF!</definedName>
    <definedName name="_Toc277595917" localSheetId="6">'Test Scenarios'!#REF!</definedName>
    <definedName name="_Toc277595918" localSheetId="6">'Test Scenarios'!#REF!</definedName>
    <definedName name="_Toc277595920" localSheetId="6">'Test Scenarios'!#REF!</definedName>
    <definedName name="_Toc277595922" localSheetId="6">'Test Scenarios'!#REF!</definedName>
    <definedName name="_Toc277595923" localSheetId="6">'Test Scenarios'!#REF!</definedName>
    <definedName name="_Toc277595925" localSheetId="6">'Test Scenarios'!#REF!</definedName>
    <definedName name="HistoryVersions">'[1]Document Control'!$D$15:$D$16</definedName>
    <definedName name="Personel_Roles">'[1]Control and Data'!$A$2:$A$15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4" i="37" l="1"/>
  <c r="M64" i="37"/>
  <c r="W96" i="37"/>
  <c r="R92" i="37"/>
  <c r="R93" i="37"/>
  <c r="R94" i="37"/>
  <c r="R95" i="37"/>
  <c r="R96" i="37"/>
  <c r="R97" i="37"/>
  <c r="R98" i="37"/>
  <c r="R99" i="37"/>
  <c r="R100" i="37"/>
  <c r="R101" i="37"/>
  <c r="R102" i="37"/>
  <c r="R103" i="37"/>
  <c r="R104" i="37"/>
  <c r="R105" i="37"/>
  <c r="R106" i="37"/>
  <c r="R107" i="37"/>
  <c r="P108" i="37"/>
  <c r="H17" i="35" s="1"/>
  <c r="L17" i="35" s="1"/>
  <c r="W38" i="37"/>
  <c r="W39" i="37"/>
  <c r="W40" i="37"/>
  <c r="R22" i="37"/>
  <c r="M6" i="37"/>
  <c r="M7" i="37"/>
  <c r="M8" i="37"/>
  <c r="M9" i="37"/>
  <c r="M10" i="37"/>
  <c r="M11" i="37"/>
  <c r="M12" i="37"/>
  <c r="M13" i="37"/>
  <c r="M14" i="37"/>
  <c r="M15" i="37"/>
  <c r="M16" i="37"/>
  <c r="M17" i="37"/>
  <c r="M18" i="37"/>
  <c r="M93" i="37"/>
  <c r="M94" i="37"/>
  <c r="M95" i="37"/>
  <c r="M96" i="37"/>
  <c r="M97" i="37"/>
  <c r="M98" i="37"/>
  <c r="M99" i="37"/>
  <c r="M100" i="37"/>
  <c r="M101" i="37"/>
  <c r="M102" i="37"/>
  <c r="M103" i="37"/>
  <c r="W76" i="37"/>
  <c r="W77" i="37"/>
  <c r="W78" i="37"/>
  <c r="W79" i="37"/>
  <c r="W80" i="37"/>
  <c r="W81" i="37"/>
  <c r="W82" i="37"/>
  <c r="W83" i="37"/>
  <c r="W84" i="37"/>
  <c r="W85" i="37"/>
  <c r="R76" i="37"/>
  <c r="R77" i="37"/>
  <c r="R78" i="37"/>
  <c r="R79" i="37"/>
  <c r="R80" i="37"/>
  <c r="R81" i="37"/>
  <c r="R82" i="37"/>
  <c r="R83" i="37"/>
  <c r="R84" i="37"/>
  <c r="R85" i="37"/>
  <c r="M76" i="37"/>
  <c r="M77" i="37"/>
  <c r="M78" i="37"/>
  <c r="M79" i="37"/>
  <c r="M80" i="37"/>
  <c r="M81" i="37"/>
  <c r="M82" i="37"/>
  <c r="M83" i="37"/>
  <c r="M84" i="37"/>
  <c r="M85" i="37"/>
  <c r="M68" i="37"/>
  <c r="M59" i="37"/>
  <c r="M60" i="37"/>
  <c r="M61" i="37"/>
  <c r="M62" i="37"/>
  <c r="M63" i="37"/>
  <c r="M65" i="37"/>
  <c r="M66" i="37"/>
  <c r="M67" i="37"/>
  <c r="M39" i="37"/>
  <c r="D6" i="37"/>
  <c r="D7" i="37"/>
  <c r="D8" i="37"/>
  <c r="D9" i="37"/>
  <c r="D10" i="37"/>
  <c r="D11" i="37"/>
  <c r="D12" i="37"/>
  <c r="D13" i="37"/>
  <c r="D14" i="37"/>
  <c r="D15" i="37"/>
  <c r="D16" i="37"/>
  <c r="D17" i="37"/>
  <c r="D18" i="37"/>
  <c r="D5" i="37"/>
  <c r="E17" i="34"/>
  <c r="I8" i="34" s="1"/>
  <c r="P68" i="37"/>
  <c r="H11" i="35" s="1"/>
  <c r="L11" i="35" s="1"/>
  <c r="U69" i="37"/>
  <c r="H12" i="35" s="1"/>
  <c r="L12" i="35" s="1"/>
  <c r="K104" i="37"/>
  <c r="H16" i="35" s="1"/>
  <c r="L16" i="35" s="1"/>
  <c r="U86" i="37"/>
  <c r="H15" i="35" s="1"/>
  <c r="L15" i="35" s="1"/>
  <c r="P86" i="37"/>
  <c r="H14" i="35" s="1"/>
  <c r="L14" i="35" s="1"/>
  <c r="K86" i="37"/>
  <c r="H13" i="35" s="1"/>
  <c r="L13" i="35" s="1"/>
  <c r="K69" i="37"/>
  <c r="H10" i="35" s="1"/>
  <c r="L10" i="35" s="1"/>
  <c r="R75" i="37"/>
  <c r="M92" i="37"/>
  <c r="W75" i="37"/>
  <c r="R66" i="37"/>
  <c r="R65" i="37"/>
  <c r="R64" i="37"/>
  <c r="R63" i="37"/>
  <c r="R62" i="37"/>
  <c r="R61" i="37"/>
  <c r="R60" i="37"/>
  <c r="R59" i="37"/>
  <c r="R58" i="37"/>
  <c r="R35" i="37"/>
  <c r="R36" i="37"/>
  <c r="R37" i="37"/>
  <c r="R38" i="37"/>
  <c r="R39" i="37"/>
  <c r="R49" i="37"/>
  <c r="R50" i="37"/>
  <c r="R51" i="37"/>
  <c r="P52" i="37"/>
  <c r="H8" i="35" s="1"/>
  <c r="L8" i="35" s="1"/>
  <c r="K51" i="37"/>
  <c r="H7" i="35" s="1"/>
  <c r="L7" i="35" s="1"/>
  <c r="R48" i="37"/>
  <c r="R47" i="37"/>
  <c r="R46" i="37"/>
  <c r="R45" i="37"/>
  <c r="R44" i="37"/>
  <c r="R43" i="37"/>
  <c r="R42" i="37"/>
  <c r="R41" i="37"/>
  <c r="R40" i="37"/>
  <c r="W16" i="37"/>
  <c r="W17" i="37"/>
  <c r="W18" i="37"/>
  <c r="W19" i="37"/>
  <c r="P29" i="37"/>
  <c r="H5" i="35" s="1"/>
  <c r="L5" i="35" s="1"/>
  <c r="R17" i="37"/>
  <c r="R18" i="37"/>
  <c r="R19" i="37"/>
  <c r="R20" i="37"/>
  <c r="R21" i="37"/>
  <c r="R23" i="37"/>
  <c r="R24" i="37"/>
  <c r="R25" i="37"/>
  <c r="R26" i="37"/>
  <c r="R27" i="37"/>
  <c r="R28" i="37"/>
  <c r="K20" i="37"/>
  <c r="H4" i="35" s="1"/>
  <c r="R6" i="37"/>
  <c r="R7" i="37"/>
  <c r="R8" i="37"/>
  <c r="R9" i="37"/>
  <c r="R10" i="37"/>
  <c r="R11" i="37"/>
  <c r="R12" i="37"/>
  <c r="R13" i="37"/>
  <c r="R14" i="37"/>
  <c r="R15" i="37"/>
  <c r="R16" i="37"/>
  <c r="M19" i="37"/>
  <c r="W58" i="37"/>
  <c r="W36" i="37"/>
  <c r="W37" i="37"/>
  <c r="W41" i="37"/>
  <c r="W42" i="37"/>
  <c r="M36" i="37"/>
  <c r="M37" i="37"/>
  <c r="M38" i="37"/>
  <c r="M40" i="37"/>
  <c r="M41" i="37"/>
  <c r="M42" i="37"/>
  <c r="M43" i="37"/>
  <c r="M44" i="37"/>
  <c r="M45" i="37"/>
  <c r="M46" i="37"/>
  <c r="M47" i="37"/>
  <c r="M48" i="37"/>
  <c r="M49" i="37"/>
  <c r="M50" i="37"/>
  <c r="W6" i="37"/>
  <c r="W7" i="37"/>
  <c r="W8" i="37"/>
  <c r="W9" i="37"/>
  <c r="W10" i="37"/>
  <c r="W11" i="37"/>
  <c r="W12" i="37"/>
  <c r="W13" i="37"/>
  <c r="W14" i="37"/>
  <c r="W15" i="37"/>
  <c r="W93" i="37"/>
  <c r="W95" i="37"/>
  <c r="W97" i="37"/>
  <c r="W98" i="37"/>
  <c r="W99" i="37"/>
  <c r="W100" i="37"/>
  <c r="W101" i="37"/>
  <c r="W59" i="37"/>
  <c r="W60" i="37"/>
  <c r="W61" i="37"/>
  <c r="W62" i="37"/>
  <c r="W63" i="37"/>
  <c r="W64" i="37"/>
  <c r="W65" i="37"/>
  <c r="W66" i="37"/>
  <c r="W67" i="37"/>
  <c r="W68" i="37"/>
  <c r="M5" i="37"/>
  <c r="R5" i="37"/>
  <c r="W5" i="37"/>
  <c r="M35" i="37"/>
  <c r="U20" i="37"/>
  <c r="H6" i="35" s="1"/>
  <c r="L6" i="35" s="1"/>
  <c r="W35" i="37"/>
  <c r="M58" i="37"/>
  <c r="U43" i="37"/>
  <c r="H9" i="35" s="1"/>
  <c r="L9" i="35" s="1"/>
  <c r="M75" i="37"/>
  <c r="W92" i="37"/>
  <c r="U102" i="37"/>
  <c r="H18" i="35" s="1"/>
  <c r="L18" i="35" s="1"/>
  <c r="R108" i="37" l="1"/>
  <c r="F17" i="37" s="1"/>
  <c r="F12" i="34"/>
  <c r="E14" i="37" s="1"/>
  <c r="F15" i="34"/>
  <c r="E17" i="37" s="1"/>
  <c r="F14" i="34"/>
  <c r="E16" i="37" s="1"/>
  <c r="F13" i="34"/>
  <c r="E15" i="37" s="1"/>
  <c r="F11" i="34"/>
  <c r="E13" i="37" s="1"/>
  <c r="F10" i="34"/>
  <c r="E12" i="37" s="1"/>
  <c r="F9" i="34"/>
  <c r="E11" i="37" s="1"/>
  <c r="F8" i="34"/>
  <c r="E10" i="37" s="1"/>
  <c r="D4" i="37"/>
  <c r="M104" i="37"/>
  <c r="F16" i="37" s="1"/>
  <c r="W86" i="37"/>
  <c r="F15" i="37" s="1"/>
  <c r="R86" i="37"/>
  <c r="F14" i="37" s="1"/>
  <c r="M86" i="37"/>
  <c r="W69" i="37"/>
  <c r="F12" i="37" s="1"/>
  <c r="R68" i="37"/>
  <c r="F11" i="37" s="1"/>
  <c r="M69" i="37"/>
  <c r="F10" i="37" s="1"/>
  <c r="E10" i="35" s="1"/>
  <c r="R52" i="37"/>
  <c r="F7" i="34"/>
  <c r="E9" i="37" s="1"/>
  <c r="F6" i="34"/>
  <c r="E8" i="37" s="1"/>
  <c r="F20" i="34"/>
  <c r="F19" i="35" s="1"/>
  <c r="R29" i="37"/>
  <c r="F5" i="37" s="1"/>
  <c r="E5" i="35" s="1"/>
  <c r="M20" i="37"/>
  <c r="W20" i="37"/>
  <c r="F6" i="37" s="1"/>
  <c r="E6" i="35" s="1"/>
  <c r="W102" i="37"/>
  <c r="F18" i="37" s="1"/>
  <c r="M51" i="37"/>
  <c r="F7" i="37" s="1"/>
  <c r="E7" i="35" s="1"/>
  <c r="W43" i="37"/>
  <c r="F9" i="37" s="1"/>
  <c r="E9" i="35" s="1"/>
  <c r="F3" i="34"/>
  <c r="E5" i="37" s="1"/>
  <c r="F2" i="34"/>
  <c r="F4" i="34"/>
  <c r="E6" i="37" s="1"/>
  <c r="F5" i="34"/>
  <c r="E7" i="37" s="1"/>
  <c r="F16" i="34"/>
  <c r="E18" i="37" s="1"/>
  <c r="F9" i="35" l="1"/>
  <c r="F10" i="35"/>
  <c r="F6" i="35"/>
  <c r="F5" i="35"/>
  <c r="F7" i="35"/>
  <c r="E16" i="35"/>
  <c r="F16" i="35" s="1"/>
  <c r="G16" i="37"/>
  <c r="G11" i="37"/>
  <c r="E11" i="35"/>
  <c r="F11" i="35" s="1"/>
  <c r="E12" i="35"/>
  <c r="F12" i="35" s="1"/>
  <c r="G12" i="37"/>
  <c r="E15" i="35"/>
  <c r="F15" i="35" s="1"/>
  <c r="G15" i="37"/>
  <c r="E18" i="35"/>
  <c r="F18" i="35" s="1"/>
  <c r="G18" i="37"/>
  <c r="E17" i="35"/>
  <c r="F17" i="35" s="1"/>
  <c r="G17" i="37"/>
  <c r="F8" i="37"/>
  <c r="F13" i="37"/>
  <c r="G9" i="37"/>
  <c r="G10" i="37"/>
  <c r="G5" i="37"/>
  <c r="G7" i="37"/>
  <c r="G6" i="37"/>
  <c r="L8" i="34"/>
  <c r="J19" i="35" s="1"/>
  <c r="F17" i="34"/>
  <c r="E4" i="37"/>
  <c r="G18" i="35" l="1"/>
  <c r="I18" i="35"/>
  <c r="G16" i="35"/>
  <c r="I16" i="35"/>
  <c r="G6" i="35"/>
  <c r="I6" i="35"/>
  <c r="G17" i="35"/>
  <c r="I17" i="35"/>
  <c r="G7" i="35"/>
  <c r="I7" i="35"/>
  <c r="G15" i="35"/>
  <c r="I15" i="35"/>
  <c r="G5" i="35"/>
  <c r="I5" i="35"/>
  <c r="G12" i="35"/>
  <c r="I12" i="35"/>
  <c r="G10" i="35"/>
  <c r="I10" i="35"/>
  <c r="J5" i="35"/>
  <c r="J7" i="35"/>
  <c r="J15" i="35"/>
  <c r="J17" i="35"/>
  <c r="J18" i="35"/>
  <c r="J11" i="35"/>
  <c r="J6" i="35"/>
  <c r="J16" i="35"/>
  <c r="J9" i="35"/>
  <c r="J10" i="35"/>
  <c r="J12" i="35"/>
  <c r="G11" i="35"/>
  <c r="I11" i="35"/>
  <c r="G9" i="35"/>
  <c r="I9" i="35"/>
  <c r="E13" i="35"/>
  <c r="G13" i="37"/>
  <c r="G14" i="37"/>
  <c r="E14" i="35"/>
  <c r="G8" i="37"/>
  <c r="E8" i="35"/>
  <c r="M11" i="35" l="1"/>
  <c r="N11" i="35" s="1"/>
  <c r="F8" i="35"/>
  <c r="I8" i="35" s="1"/>
  <c r="J8" i="35"/>
  <c r="F14" i="35"/>
  <c r="G14" i="35" s="1"/>
  <c r="J14" i="35"/>
  <c r="F13" i="35"/>
  <c r="G13" i="35" s="1"/>
  <c r="J13" i="35"/>
  <c r="M5" i="35"/>
  <c r="N5" i="35" s="1"/>
  <c r="M6" i="35"/>
  <c r="O6" i="35" s="1"/>
  <c r="M18" i="35"/>
  <c r="O18" i="35" s="1"/>
  <c r="M9" i="35"/>
  <c r="M15" i="35"/>
  <c r="M16" i="35"/>
  <c r="O11" i="35"/>
  <c r="M10" i="35"/>
  <c r="M7" i="35"/>
  <c r="M12" i="35"/>
  <c r="M17" i="35"/>
  <c r="E19" i="37"/>
  <c r="D19" i="37"/>
  <c r="H19" i="35"/>
  <c r="F4" i="37"/>
  <c r="G4" i="37" s="1"/>
  <c r="G8" i="35" l="1"/>
  <c r="N18" i="35"/>
  <c r="N6" i="35"/>
  <c r="M8" i="35"/>
  <c r="N8" i="35" s="1"/>
  <c r="I13" i="35"/>
  <c r="M13" i="35" s="1"/>
  <c r="O5" i="35"/>
  <c r="I14" i="35"/>
  <c r="M14" i="35" s="1"/>
  <c r="O14" i="35" s="1"/>
  <c r="N15" i="35"/>
  <c r="O15" i="35"/>
  <c r="N7" i="35"/>
  <c r="O7" i="35"/>
  <c r="O12" i="35"/>
  <c r="N12" i="35"/>
  <c r="O9" i="35"/>
  <c r="N9" i="35"/>
  <c r="O8" i="35"/>
  <c r="N10" i="35"/>
  <c r="O10" i="35"/>
  <c r="O17" i="35"/>
  <c r="N17" i="35"/>
  <c r="N16" i="35"/>
  <c r="O16" i="35"/>
  <c r="L4" i="35"/>
  <c r="E4" i="35"/>
  <c r="N14" i="35" l="1"/>
  <c r="N13" i="35"/>
  <c r="O13" i="35"/>
  <c r="F4" i="35"/>
  <c r="J4" i="35"/>
  <c r="I4" i="35" l="1"/>
  <c r="G4" i="35"/>
  <c r="G19" i="35" s="1"/>
  <c r="M4" i="35" l="1"/>
  <c r="I19" i="35"/>
  <c r="O4" i="35" l="1"/>
  <c r="N4" i="35"/>
</calcChain>
</file>

<file path=xl/sharedStrings.xml><?xml version="1.0" encoding="utf-8"?>
<sst xmlns="http://schemas.openxmlformats.org/spreadsheetml/2006/main" count="537" uniqueCount="247">
  <si>
    <t>Document Control</t>
  </si>
  <si>
    <t>1. Change History</t>
  </si>
  <si>
    <t>Version</t>
  </si>
  <si>
    <t>Date</t>
  </si>
  <si>
    <t>Summary of Changes</t>
  </si>
  <si>
    <t>Authors</t>
  </si>
  <si>
    <t>v0.1</t>
  </si>
  <si>
    <t>Draft Version</t>
  </si>
  <si>
    <t>Chandra Sekhar</t>
  </si>
  <si>
    <t>2. Distribution</t>
  </si>
  <si>
    <t>Name</t>
  </si>
  <si>
    <t>Area</t>
  </si>
  <si>
    <t>3. References</t>
  </si>
  <si>
    <t>#</t>
  </si>
  <si>
    <t>Document Title</t>
  </si>
  <si>
    <t>https://vihaan-ai.atlassian.net/wiki/spaces/DT/pages/323094249/Performance+Test+Strategy+-+AISmart</t>
  </si>
  <si>
    <t>Project Overview</t>
  </si>
  <si>
    <t xml:space="preserve">Complete this sheet to identify basic data used to populate other sheets and headers. </t>
  </si>
  <si>
    <t>Client / Project Name</t>
  </si>
  <si>
    <t>AI Smart</t>
  </si>
  <si>
    <t>Scope matrix filename</t>
  </si>
  <si>
    <t>Work Load Model</t>
  </si>
  <si>
    <t>Delivery/Non-Delivery</t>
  </si>
  <si>
    <t>Delivery</t>
  </si>
  <si>
    <t>Test Name</t>
  </si>
  <si>
    <t>Average Load Test</t>
  </si>
  <si>
    <t>Peak Load test</t>
  </si>
  <si>
    <t>Stress Load Test</t>
  </si>
  <si>
    <t>Incremental Load Test</t>
  </si>
  <si>
    <t>Endurance Test</t>
  </si>
  <si>
    <t>Facts &amp; Assumptions</t>
  </si>
  <si>
    <t>The following facts and assumption were used in creation of the Work Load Model.</t>
  </si>
  <si>
    <t>Description</t>
  </si>
  <si>
    <t>Comments</t>
  </si>
  <si>
    <t>Derived the Volumetric data from Performance test strategy document.</t>
  </si>
  <si>
    <t>Project Input</t>
  </si>
  <si>
    <t>ThinkTime is 95</t>
  </si>
  <si>
    <t>Assumption</t>
  </si>
  <si>
    <t>Response Time is 5</t>
  </si>
  <si>
    <t xml:space="preserve">Current production volume </t>
  </si>
  <si>
    <t>Movementsheet engineering has two transactions so divided the total load by 2</t>
  </si>
  <si>
    <t>Engineering cntrl board has two transactions so divided the total load by 2</t>
  </si>
  <si>
    <t>Fuel Compliance has four transactions so divided the total load by 4</t>
  </si>
  <si>
    <t>Scenario Description</t>
  </si>
  <si>
    <t>Scenarios Flows</t>
  </si>
  <si>
    <t>Transaction Name</t>
  </si>
  <si>
    <t>Page Views</t>
  </si>
  <si>
    <t>% Distribution [ Analytics ]</t>
  </si>
  <si>
    <t>E2E</t>
  </si>
  <si>
    <t>Modules</t>
  </si>
  <si>
    <t>Control Board</t>
  </si>
  <si>
    <t>Dispatch</t>
  </si>
  <si>
    <t>IROPS</t>
  </si>
  <si>
    <t>Movement Sheet</t>
  </si>
  <si>
    <t>User Management</t>
  </si>
  <si>
    <t>Load</t>
  </si>
  <si>
    <t>TPS</t>
  </si>
  <si>
    <t>RT</t>
  </si>
  <si>
    <t>TT</t>
  </si>
  <si>
    <t>Concurrent Users</t>
  </si>
  <si>
    <t>Engineering Control Board(Duty Manager)</t>
  </si>
  <si>
    <t>Peak Hour Metrics</t>
  </si>
  <si>
    <t>Engineering Control Board(Technician)</t>
  </si>
  <si>
    <t>WorkList</t>
  </si>
  <si>
    <t>Fuel Compliance (Engineering)</t>
  </si>
  <si>
    <t>Fuel Compliance (Cargo)</t>
  </si>
  <si>
    <t>Fuel Compliance (CLC)</t>
  </si>
  <si>
    <t>Fuel Compliance (Dispatch)</t>
  </si>
  <si>
    <t>Reports</t>
  </si>
  <si>
    <t>PTS Dashboard</t>
  </si>
  <si>
    <t>Total Pageviews</t>
  </si>
  <si>
    <t>Year over Year Growth</t>
  </si>
  <si>
    <t xml:space="preserve">Page Level Distribution </t>
  </si>
  <si>
    <t>Column1</t>
  </si>
  <si>
    <t>Column2</t>
  </si>
  <si>
    <t>Column3</t>
  </si>
  <si>
    <t>Column4</t>
  </si>
  <si>
    <t> </t>
  </si>
  <si>
    <t xml:space="preserve">% Distribution </t>
  </si>
  <si>
    <t>% Actual</t>
  </si>
  <si>
    <t xml:space="preserve">% Delta </t>
  </si>
  <si>
    <t>SC01-Control Board (Admin 14)</t>
  </si>
  <si>
    <t>SC02-Dispatch (Admin 14)</t>
  </si>
  <si>
    <t>SC03-IROPS (Admin 14)</t>
  </si>
  <si>
    <t>Page</t>
  </si>
  <si>
    <t>Count</t>
  </si>
  <si>
    <t>%age</t>
  </si>
  <si>
    <t>Total %</t>
  </si>
  <si>
    <t>Launch URL</t>
  </si>
  <si>
    <t>Login</t>
  </si>
  <si>
    <t>Homepage</t>
  </si>
  <si>
    <t>Change the location</t>
  </si>
  <si>
    <t>Click on Dispatch Module</t>
  </si>
  <si>
    <t>Click on IRROPS module</t>
  </si>
  <si>
    <t>Select Previous Date and Apply Filter</t>
  </si>
  <si>
    <t>Select Custom Date and Apply</t>
  </si>
  <si>
    <t>Select current date and select movement type as Arriving/ALL and Apply Filter</t>
  </si>
  <si>
    <t>Change the timezone</t>
  </si>
  <si>
    <t>Search theTime Zone and Apply</t>
  </si>
  <si>
    <t>Timezone change.</t>
  </si>
  <si>
    <t>Select Date filter as Today and apply</t>
  </si>
  <si>
    <t xml:space="preserve">Search Flight No./Tail No. and Apply </t>
  </si>
  <si>
    <t>Filter dialog box - SortBy</t>
  </si>
  <si>
    <t>Select Date filter as Tomorrow and apply</t>
  </si>
  <si>
    <t>Click on Deactivate tab</t>
  </si>
  <si>
    <t>Apply Past window for all time frames.</t>
  </si>
  <si>
    <t>Select Date filter as Yesterday and apply</t>
  </si>
  <si>
    <t>Activate the lotNo.</t>
  </si>
  <si>
    <t>Click on Arrival Station</t>
  </si>
  <si>
    <t>Select Date filter as Custom Range and apply</t>
  </si>
  <si>
    <t>Click on Manual Intervention</t>
  </si>
  <si>
    <t>Click on Departure Station</t>
  </si>
  <si>
    <t>Search Flight and apply.</t>
  </si>
  <si>
    <t xml:space="preserve">Click Lot no., add email &amp; save </t>
  </si>
  <si>
    <t>Click on Pax</t>
  </si>
  <si>
    <t>Click on Download ADC/FIC, select date and click Generate Report</t>
  </si>
  <si>
    <t>Publish the lot No.</t>
  </si>
  <si>
    <t>Click on Captain/First Officer</t>
  </si>
  <si>
    <t>Click on Active MELs and Download</t>
  </si>
  <si>
    <t>Click on Manual Intervention and change the bucket to Basket.</t>
  </si>
  <si>
    <t>Click on CFG</t>
  </si>
  <si>
    <t>Click on CrewDetails</t>
  </si>
  <si>
    <t>Click on Generate Report &amp; Download PDF/Excel.</t>
  </si>
  <si>
    <t>Click on Profile and Logout</t>
  </si>
  <si>
    <t>Click on More Details.</t>
  </si>
  <si>
    <t>Click on Allocate Dispatcher</t>
  </si>
  <si>
    <t>Click on Allocated</t>
  </si>
  <si>
    <t>Click on Unallocated</t>
  </si>
  <si>
    <t xml:space="preserve">Select aircraft type </t>
  </si>
  <si>
    <t>Select Start time</t>
  </si>
  <si>
    <t>Select End Time.</t>
  </si>
  <si>
    <t>Assign Dispatcher.</t>
  </si>
  <si>
    <t>Update Dispatcher (Click on Allocated).</t>
  </si>
  <si>
    <t>SC04-Movement Sheet (Admin)</t>
  </si>
  <si>
    <t>SC05-Movement Sheet (Engineering 11 Role:DepHead SubRole:AME ENG)</t>
  </si>
  <si>
    <t>SC06-User Management (Admin SuperUser 14)</t>
  </si>
  <si>
    <t>Click on the Movement sheet Module</t>
  </si>
  <si>
    <t>Click on User Management Module</t>
  </si>
  <si>
    <t>Change the Timezone</t>
  </si>
  <si>
    <t>Change TimeZone</t>
  </si>
  <si>
    <t>Click on Add User, Provide details and Click on Save.</t>
  </si>
  <si>
    <t>Click on Edit, update the deatils  and click on Save.</t>
  </si>
  <si>
    <t>Search for flight/Tail No. and apply filter.</t>
  </si>
  <si>
    <t>Click on Delete.</t>
  </si>
  <si>
    <t xml:space="preserve">Select Custom date and apply filter </t>
  </si>
  <si>
    <t>Select Custom date and Time Frame D and apply filter</t>
  </si>
  <si>
    <t>Select Custom date and Time Frame D+1 and apply filter</t>
  </si>
  <si>
    <t>Select Aircraft Type and apply filter</t>
  </si>
  <si>
    <t>Click on Engineering Requests</t>
  </si>
  <si>
    <t>Click on Requests Select Date, Tail No, Action, Station and Submit</t>
  </si>
  <si>
    <t>Click on Request approval</t>
  </si>
  <si>
    <t>Click on Requests Select Date, Tail No, Action, Station and Save</t>
  </si>
  <si>
    <t>Click on Auto approval</t>
  </si>
  <si>
    <t>Click on Requests Select Date, Tail No, Action, Station and Submit the saved request</t>
  </si>
  <si>
    <t>Click on Preview and Send mail</t>
  </si>
  <si>
    <t>Click on Approve/Reject.</t>
  </si>
  <si>
    <t>SC07-Engineering Control Board (Eng. Allocation, Duty Manager 21)</t>
  </si>
  <si>
    <t>SC08-Engineering Control Board (My/ALL Flights, Technician 15)</t>
  </si>
  <si>
    <t>SC09-WorkList (Admin 14)</t>
  </si>
  <si>
    <t>Click on Engineer allocation</t>
  </si>
  <si>
    <t>Change Location.</t>
  </si>
  <si>
    <t>Click on Works list module</t>
  </si>
  <si>
    <t>Select Time zone.</t>
  </si>
  <si>
    <t>Change Date, Past window for all time frames, select sort by and apply changes.</t>
  </si>
  <si>
    <t>Change the Time Zone to UTC</t>
  </si>
  <si>
    <t>Seatch Flight, Assign AME and Technician and Click on Save Changes</t>
  </si>
  <si>
    <t>Click on All flights.</t>
  </si>
  <si>
    <t>Click on View Details</t>
  </si>
  <si>
    <t>Select Future Date and Apply Filter</t>
  </si>
  <si>
    <t>Click on Add Comments &amp; Save</t>
  </si>
  <si>
    <t>Enable the Toggle, Add reason &amp; Save</t>
  </si>
  <si>
    <t>Click on Download Report, Select date, file type and Click on Generate.</t>
  </si>
  <si>
    <t>Click on Report wrong chocks on &amp; Save</t>
  </si>
  <si>
    <t>Click on Profile and Logout.</t>
  </si>
  <si>
    <t>SC10-Fuel Compliance (Engineer 20)</t>
  </si>
  <si>
    <t>SC11-Fuel Compliance (Cargo 9)</t>
  </si>
  <si>
    <t>SC12-Fuel Compliance (CLC 19)</t>
  </si>
  <si>
    <t>Click on Fuel Comapliance module</t>
  </si>
  <si>
    <t xml:space="preserve">Change the TimeZone </t>
  </si>
  <si>
    <t>Change the Build Type</t>
  </si>
  <si>
    <t>Change the date to Yesterday/Tomorrow and Apply</t>
  </si>
  <si>
    <t>Search FlightNo. and Apply</t>
  </si>
  <si>
    <t>Edit field and Save changes.</t>
  </si>
  <si>
    <t>SC13-Fuel Compliance (Dispatch 4)</t>
  </si>
  <si>
    <t>SC14-Reports (Admin 14)</t>
  </si>
  <si>
    <t>SC15-PTS Dashboard (Admin 14)</t>
  </si>
  <si>
    <t>Click on Reports Module</t>
  </si>
  <si>
    <t>Click on PTS Dashboard module</t>
  </si>
  <si>
    <t>Select Date, Flight No., Depart From and click submit</t>
  </si>
  <si>
    <t>Click on Passengers manifest</t>
  </si>
  <si>
    <t>Select Flight Type and Apply</t>
  </si>
  <si>
    <t>Click on Transit Manifest</t>
  </si>
  <si>
    <t>Select Aircraft Type and Apply</t>
  </si>
  <si>
    <t>Click on Load Sheet</t>
  </si>
  <si>
    <t>Select Destination Station and Apply</t>
  </si>
  <si>
    <t>Click on Load  Instruction Report (LIR)</t>
  </si>
  <si>
    <t>Select PTS and Apply</t>
  </si>
  <si>
    <t>Click on Text CTA in LIR</t>
  </si>
  <si>
    <t>Click on Generate Report, Select date and Click on Generate</t>
  </si>
  <si>
    <t>Click on Load Distribution Message (LDM)</t>
  </si>
  <si>
    <t>Click on Container Pallet Message</t>
  </si>
  <si>
    <t>Click on Special Service Request By changing the Request type (WCHS/WCHR)</t>
  </si>
  <si>
    <t xml:space="preserve">Add the Belt Number </t>
  </si>
  <si>
    <t xml:space="preserve">Update the Belt Number </t>
  </si>
  <si>
    <t>Peak Load Transaction Mix - Year 2025</t>
  </si>
  <si>
    <t>SNo</t>
  </si>
  <si>
    <t>Scenario Name</t>
  </si>
  <si>
    <t>Perf (Y/N)</t>
  </si>
  <si>
    <t>User Type
[Existing/Guest]</t>
  </si>
  <si>
    <t>Load Distribution</t>
  </si>
  <si>
    <t>Pages / Hour</t>
  </si>
  <si>
    <t>Pages/ Sec(TPS)</t>
  </si>
  <si>
    <t>Pages/ Iteration</t>
  </si>
  <si>
    <t>Loops/hr</t>
  </si>
  <si>
    <t>Average RT / Page in sec</t>
  </si>
  <si>
    <t>Average Total RT/ loop in sec</t>
  </si>
  <si>
    <t>Thinktime / loop in sec</t>
  </si>
  <si>
    <t>Thinktime /Call in sec</t>
  </si>
  <si>
    <t>Total PageTime /loop in sec</t>
  </si>
  <si>
    <t>Y</t>
  </si>
  <si>
    <t>Existing</t>
  </si>
  <si>
    <r>
      <t xml:space="preserve">
Performance Test Scenarios</t>
    </r>
    <r>
      <rPr>
        <b/>
        <sz val="14"/>
        <rFont val="Calibri"/>
        <family val="2"/>
      </rPr>
      <t xml:space="preserve">
</t>
    </r>
  </si>
  <si>
    <t>Below are the type of tests which are in-scope for application</t>
  </si>
  <si>
    <t>Sno</t>
  </si>
  <si>
    <t xml:space="preserve">Test </t>
  </si>
  <si>
    <t>Condition</t>
  </si>
  <si>
    <t>Test Description</t>
  </si>
  <si>
    <t>Objective</t>
  </si>
  <si>
    <t>Metrics Analyzed</t>
  </si>
  <si>
    <t xml:space="preserve">Load used </t>
  </si>
  <si>
    <t xml:space="preserve">Average Load </t>
  </si>
  <si>
    <t>Performance</t>
  </si>
  <si>
    <t xml:space="preserve">Average Peak Test is to monitor the system’s behavior under a  normal production mix load.  </t>
  </si>
  <si>
    <t>Under normal production conditions with normal load,  this test shows application behavior for day today transactions.</t>
  </si>
  <si>
    <t>Response Times
CPU
Memory
Logging
Disk</t>
  </si>
  <si>
    <t>Average Load</t>
  </si>
  <si>
    <t>Peak Load</t>
  </si>
  <si>
    <t xml:space="preserve">Peak Test is to monitor the system’s behavior under a peak hour production mix load.  </t>
  </si>
  <si>
    <t>Under normal production conditions, this test shows what the maximum system utilization will be</t>
  </si>
  <si>
    <t xml:space="preserve">Response Times
CPU
Memory
Logging
Disk
Connections
Threads
</t>
  </si>
  <si>
    <t>This test is designed to simulate a production-like scenario of constant 50% peak average volumes against application for a normal day.  The test is run for 8-12 hour at an average load</t>
  </si>
  <si>
    <t>This simulation will reveal any server problems related to long periods of volume.  Overall, this test shows the server’s ability to maintain its vital metrics over extended durations. Also helps to identify the systen memory leakage if any.</t>
  </si>
  <si>
    <t>Response Times
CPU
Memory
Logging
Disk
Connections
Threads
GC pattern</t>
  </si>
  <si>
    <t>Stress Test</t>
  </si>
  <si>
    <t>This test is designed to find out the breaking point of the application.</t>
  </si>
  <si>
    <t xml:space="preserve">This test helps in understanding the stressing point of the application and further this test will revels whether breaking point will be due to code issue or it will be resources utilization issue. </t>
  </si>
  <si>
    <t>Incremental Load to the max, till bottleneck is reached in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</si>
</sst>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Red]0.0"/>
    <numFmt numFmtId="166" formatCode="0.0%"/>
    <numFmt numFmtId="167" formatCode="[$-409]d\-mmm\-yy;@"/>
    <numFmt numFmtId="168" formatCode="0;[Red]0"/>
  </numFmts>
  <fonts count="59" x14ac:knownFonts="1">
    <font>
      <sz val="10"/>
      <name val="Arial"/>
    </font>
    <font>
      <sz val="11"/>
      <color theme="1"/>
      <name val="Calibri"/>
      <family val="2"/>
      <scheme val="minor"/>
    </font>
    <font>
      <sz val="10"/>
      <name val="Arial"/>
      <family val="2"/>
    </font>
    <font>
      <sz val="8"/>
      <name val="Arial"/>
      <family val="2"/>
    </font>
    <font>
      <sz val="10"/>
      <name val="Arial"/>
      <family val="2"/>
    </font>
    <font>
      <u/>
      <sz val="10"/>
      <color indexed="12"/>
      <name val="Arial"/>
      <family val="2"/>
    </font>
    <font>
      <sz val="9"/>
      <name val="Arial"/>
      <family val="2"/>
    </font>
    <font>
      <b/>
      <sz val="16"/>
      <color indexed="10"/>
      <name val="Arial"/>
      <family val="2"/>
    </font>
    <font>
      <sz val="11"/>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1"/>
      <color indexed="8"/>
      <name val="Calibri"/>
      <family val="2"/>
    </font>
    <font>
      <sz val="10"/>
      <name val="Arial"/>
      <family val="2"/>
    </font>
    <font>
      <b/>
      <sz val="14"/>
      <name val="Calibri"/>
      <family val="2"/>
    </font>
    <font>
      <b/>
      <sz val="10"/>
      <name val="Arial"/>
      <family val="2"/>
    </font>
    <font>
      <sz val="10"/>
      <name val="Arial"/>
      <family val="2"/>
    </font>
    <font>
      <sz val="11"/>
      <color theme="1"/>
      <name val="Calibri"/>
      <family val="2"/>
      <scheme val="minor"/>
    </font>
    <font>
      <sz val="11"/>
      <name val="Calibri"/>
      <family val="2"/>
      <scheme val="minor"/>
    </font>
    <font>
      <sz val="10"/>
      <name val="Calibri"/>
      <family val="2"/>
      <scheme val="minor"/>
    </font>
    <font>
      <sz val="9"/>
      <name val="Calibri"/>
      <family val="2"/>
      <scheme val="minor"/>
    </font>
    <font>
      <b/>
      <sz val="10"/>
      <color indexed="10"/>
      <name val="Calibri"/>
      <family val="2"/>
      <scheme val="minor"/>
    </font>
    <font>
      <b/>
      <sz val="10"/>
      <name val="Calibri"/>
      <family val="2"/>
      <scheme val="minor"/>
    </font>
    <font>
      <b/>
      <sz val="16"/>
      <color indexed="10"/>
      <name val="Calibri"/>
      <family val="2"/>
      <scheme val="minor"/>
    </font>
    <font>
      <b/>
      <sz val="11"/>
      <color theme="0"/>
      <name val="Calibri"/>
      <family val="2"/>
      <scheme val="minor"/>
    </font>
    <font>
      <b/>
      <sz val="10"/>
      <color indexed="8"/>
      <name val="Calibri"/>
      <family val="2"/>
      <scheme val="minor"/>
    </font>
    <font>
      <b/>
      <sz val="10"/>
      <color theme="0"/>
      <name val="Calibri"/>
      <family val="2"/>
    </font>
    <font>
      <b/>
      <sz val="11"/>
      <name val="Calibri"/>
      <family val="2"/>
      <scheme val="minor"/>
    </font>
    <font>
      <b/>
      <sz val="16"/>
      <color theme="0"/>
      <name val="Calibri"/>
      <family val="2"/>
      <scheme val="minor"/>
    </font>
    <font>
      <sz val="16"/>
      <name val="Calibri"/>
      <family val="2"/>
      <scheme val="minor"/>
    </font>
    <font>
      <b/>
      <sz val="12"/>
      <name val="Calibri"/>
      <family val="2"/>
      <scheme val="minor"/>
    </font>
    <font>
      <sz val="12"/>
      <name val="Calibri"/>
      <family val="2"/>
      <scheme val="minor"/>
    </font>
    <font>
      <b/>
      <sz val="14"/>
      <color indexed="10"/>
      <name val="Calibri"/>
      <family val="2"/>
      <scheme val="minor"/>
    </font>
    <font>
      <sz val="10"/>
      <color rgb="FF000000"/>
      <name val="Calibri"/>
      <family val="2"/>
    </font>
    <font>
      <sz val="16"/>
      <color indexed="10"/>
      <name val="Calibri"/>
      <family val="2"/>
      <scheme val="minor"/>
    </font>
    <font>
      <sz val="10"/>
      <color theme="1"/>
      <name val="Arial"/>
      <family val="2"/>
    </font>
    <font>
      <b/>
      <sz val="10"/>
      <color theme="0" tint="-4.9989318521683403E-2"/>
      <name val="Arial"/>
      <family val="2"/>
    </font>
    <font>
      <b/>
      <sz val="8"/>
      <color rgb="FF000000"/>
      <name val="Calibri"/>
      <family val="2"/>
    </font>
    <font>
      <sz val="8"/>
      <name val="Calibri"/>
      <family val="2"/>
    </font>
    <font>
      <sz val="11"/>
      <color rgb="FF000000"/>
      <name val="Calibri"/>
      <family val="2"/>
    </font>
    <font>
      <b/>
      <sz val="11"/>
      <color rgb="FFFF0000"/>
      <name val="Calibri"/>
      <family val="2"/>
      <scheme val="minor"/>
    </font>
    <font>
      <b/>
      <sz val="12"/>
      <color theme="0"/>
      <name val="Calibri"/>
      <family val="2"/>
    </font>
    <font>
      <u/>
      <sz val="11"/>
      <color theme="10"/>
      <name val="Calibri"/>
      <family val="2"/>
      <scheme val="minor"/>
    </font>
    <font>
      <sz val="8"/>
      <color theme="1"/>
      <name val="Calibri"/>
      <family val="2"/>
      <scheme val="minor"/>
    </font>
  </fonts>
  <fills count="4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65"/>
        <bgColor indexed="64"/>
      </patternFill>
    </fill>
    <fill>
      <patternFill patternType="solid">
        <fgColor indexed="22"/>
        <bgColor indexed="64"/>
      </patternFill>
    </fill>
    <fill>
      <patternFill patternType="solid">
        <fgColor indexed="9"/>
        <bgColor indexed="64"/>
      </patternFill>
    </fill>
    <fill>
      <patternFill patternType="solid">
        <fgColor indexed="41"/>
        <bgColor indexed="64"/>
      </patternFill>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rgb="FF00B0F0"/>
        <bgColor rgb="FF000000"/>
      </patternFill>
    </fill>
    <fill>
      <patternFill patternType="solid">
        <fgColor rgb="FF92D050"/>
        <bgColor rgb="FF000000"/>
      </patternFill>
    </fill>
    <fill>
      <patternFill patternType="solid">
        <fgColor rgb="FFFFFFFF"/>
        <bgColor rgb="FF000000"/>
      </patternFill>
    </fill>
    <fill>
      <patternFill patternType="solid">
        <fgColor rgb="FF70AD47"/>
        <bgColor rgb="FF000000"/>
      </patternFill>
    </fill>
    <fill>
      <patternFill patternType="solid">
        <fgColor rgb="FFA9D08E"/>
        <bgColor rgb="FF000000"/>
      </patternFill>
    </fill>
    <fill>
      <patternFill patternType="solid">
        <fgColor rgb="FF92D050"/>
        <bgColor indexed="64"/>
      </patternFill>
    </fill>
    <fill>
      <patternFill patternType="solid">
        <fgColor rgb="FFF4B084"/>
        <bgColor rgb="FF000000"/>
      </patternFill>
    </fill>
    <fill>
      <patternFill patternType="solid">
        <fgColor theme="0"/>
        <bgColor rgb="FF000000"/>
      </patternFill>
    </fill>
    <fill>
      <patternFill patternType="solid">
        <fgColor theme="0"/>
        <bgColor theme="4" tint="0.79998168889431442"/>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10"/>
      </right>
      <top style="thin">
        <color indexed="64"/>
      </top>
      <bottom/>
      <diagonal/>
    </border>
    <border>
      <left style="thin">
        <color indexed="64"/>
      </left>
      <right style="thin">
        <color indexed="10"/>
      </right>
      <top style="thin">
        <color indexed="47"/>
      </top>
      <bottom style="thin">
        <color indexed="47"/>
      </bottom>
      <diagonal/>
    </border>
    <border>
      <left/>
      <right style="thin">
        <color indexed="64"/>
      </right>
      <top style="thin">
        <color indexed="47"/>
      </top>
      <bottom style="thin">
        <color indexed="47"/>
      </bottom>
      <diagonal/>
    </border>
    <border>
      <left style="thin">
        <color indexed="64"/>
      </left>
      <right style="thin">
        <color indexed="10"/>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medium">
        <color indexed="64"/>
      </right>
      <top style="medium">
        <color indexed="64"/>
      </top>
      <bottom/>
      <diagonal/>
    </border>
    <border>
      <left/>
      <right/>
      <top/>
      <bottom style="thin">
        <color indexed="64"/>
      </bottom>
      <diagonal/>
    </border>
  </borders>
  <cellStyleXfs count="144">
    <xf numFmtId="0" fontId="0" fillId="0" borderId="0"/>
    <xf numFmtId="0" fontId="26" fillId="2" borderId="0" applyNumberFormat="0" applyBorder="0" applyAlignment="0" applyProtection="0"/>
    <xf numFmtId="0" fontId="26" fillId="2" borderId="0" applyNumberFormat="0" applyBorder="0" applyAlignment="0" applyProtection="0"/>
    <xf numFmtId="0" fontId="26" fillId="2"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6"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8"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25" fillId="19"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8" fillId="20" borderId="1" applyNumberFormat="0" applyAlignment="0" applyProtection="0"/>
    <xf numFmtId="0" fontId="18" fillId="20" borderId="1" applyNumberFormat="0" applyAlignment="0" applyProtection="0"/>
    <xf numFmtId="0" fontId="18" fillId="20" borderId="1" applyNumberFormat="0" applyAlignment="0" applyProtection="0"/>
    <xf numFmtId="0" fontId="20" fillId="21" borderId="2" applyNumberFormat="0" applyAlignment="0" applyProtection="0"/>
    <xf numFmtId="0" fontId="20" fillId="21" borderId="2" applyNumberFormat="0" applyAlignment="0" applyProtection="0"/>
    <xf numFmtId="0" fontId="20" fillId="21" borderId="2" applyNumberFormat="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5" fillId="0" borderId="0" applyNumberFormat="0" applyFill="0" applyBorder="0" applyAlignment="0" applyProtection="0">
      <alignment vertical="top"/>
      <protection locked="0"/>
    </xf>
    <xf numFmtId="0" fontId="16" fillId="7" borderId="1" applyNumberFormat="0" applyAlignment="0" applyProtection="0"/>
    <xf numFmtId="0" fontId="16" fillId="7" borderId="1" applyNumberFormat="0" applyAlignment="0" applyProtection="0"/>
    <xf numFmtId="0" fontId="16" fillId="7" borderId="1" applyNumberFormat="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31" fillId="0" borderId="0"/>
    <xf numFmtId="0" fontId="26" fillId="0" borderId="0"/>
    <xf numFmtId="0" fontId="22" fillId="0" borderId="0"/>
    <xf numFmtId="0" fontId="4" fillId="0" borderId="0"/>
    <xf numFmtId="0" fontId="4" fillId="0" borderId="0" applyNumberFormat="0" applyFill="0" applyBorder="0" applyAlignment="0" applyProtection="0"/>
    <xf numFmtId="0" fontId="27" fillId="0" borderId="0"/>
    <xf numFmtId="0" fontId="26" fillId="0" borderId="0"/>
    <xf numFmtId="0" fontId="26" fillId="0" borderId="0"/>
    <xf numFmtId="0" fontId="28" fillId="0" borderId="0"/>
    <xf numFmtId="0" fontId="32" fillId="0" borderId="0"/>
    <xf numFmtId="0" fontId="32" fillId="0" borderId="0"/>
    <xf numFmtId="0" fontId="31" fillId="0" borderId="0"/>
    <xf numFmtId="0" fontId="31" fillId="0" borderId="0"/>
    <xf numFmtId="0" fontId="2" fillId="0" borderId="0"/>
    <xf numFmtId="0" fontId="22" fillId="23" borderId="7" applyNumberFormat="0" applyFont="0" applyAlignment="0" applyProtection="0"/>
    <xf numFmtId="0" fontId="22"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9" fontId="2" fillId="0" borderId="0" applyFont="0" applyFill="0" applyBorder="0" applyAlignment="0" applyProtection="0"/>
    <xf numFmtId="9" fontId="4"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 fillId="0" borderId="0"/>
    <xf numFmtId="0" fontId="57" fillId="0" borderId="0" applyNumberFormat="0" applyFill="0" applyBorder="0" applyAlignment="0" applyProtection="0"/>
  </cellStyleXfs>
  <cellXfs count="208">
    <xf numFmtId="0" fontId="0" fillId="0" borderId="0" xfId="0"/>
    <xf numFmtId="0" fontId="0" fillId="24" borderId="0" xfId="0" applyFill="1"/>
    <xf numFmtId="0" fontId="4" fillId="0" borderId="0" xfId="0" applyFont="1" applyAlignment="1">
      <alignment horizontal="left" vertical="top"/>
    </xf>
    <xf numFmtId="0" fontId="6" fillId="24" borderId="13" xfId="0" applyFont="1" applyFill="1" applyBorder="1" applyAlignment="1">
      <alignment horizontal="left" vertical="top"/>
    </xf>
    <xf numFmtId="0" fontId="6" fillId="24" borderId="14" xfId="0" applyFont="1" applyFill="1" applyBorder="1" applyAlignment="1">
      <alignment horizontal="left" vertical="top"/>
    </xf>
    <xf numFmtId="0" fontId="6" fillId="25" borderId="13" xfId="0" applyFont="1" applyFill="1" applyBorder="1" applyAlignment="1">
      <alignment horizontal="left" vertical="top"/>
    </xf>
    <xf numFmtId="0" fontId="6" fillId="25" borderId="14" xfId="0" applyFont="1" applyFill="1" applyBorder="1" applyAlignment="1">
      <alignment horizontal="left" vertical="top"/>
    </xf>
    <xf numFmtId="0" fontId="6" fillId="0" borderId="0" xfId="0" applyFont="1" applyAlignment="1">
      <alignment horizontal="left" vertical="top"/>
    </xf>
    <xf numFmtId="0" fontId="0" fillId="0" borderId="0" xfId="0" applyAlignment="1">
      <alignment vertical="center" wrapText="1"/>
    </xf>
    <xf numFmtId="0" fontId="6" fillId="25" borderId="0" xfId="0" applyFont="1" applyFill="1" applyAlignment="1">
      <alignment horizontal="left" vertical="top"/>
    </xf>
    <xf numFmtId="0" fontId="0" fillId="24" borderId="0" xfId="0" applyFill="1" applyAlignment="1">
      <alignment vertical="center" wrapText="1"/>
    </xf>
    <xf numFmtId="0" fontId="0" fillId="24" borderId="15" xfId="0" applyFill="1" applyBorder="1" applyAlignment="1">
      <alignment vertical="center" wrapText="1"/>
    </xf>
    <xf numFmtId="0" fontId="6" fillId="24" borderId="16" xfId="0" applyFont="1" applyFill="1" applyBorder="1" applyAlignment="1">
      <alignment horizontal="left" vertical="top"/>
    </xf>
    <xf numFmtId="0" fontId="0" fillId="24" borderId="16" xfId="0" applyFill="1" applyBorder="1" applyAlignment="1">
      <alignment vertical="center" wrapText="1"/>
    </xf>
    <xf numFmtId="0" fontId="2" fillId="24" borderId="0" xfId="123" applyFill="1"/>
    <xf numFmtId="0" fontId="2" fillId="0" borderId="0" xfId="123"/>
    <xf numFmtId="0" fontId="0" fillId="28" borderId="0" xfId="0" applyFill="1" applyAlignment="1">
      <alignment vertical="center" wrapText="1"/>
    </xf>
    <xf numFmtId="0" fontId="0" fillId="28" borderId="0" xfId="0" applyFill="1"/>
    <xf numFmtId="0" fontId="8" fillId="28" borderId="0" xfId="0" applyFont="1" applyFill="1"/>
    <xf numFmtId="0" fontId="33" fillId="24" borderId="0" xfId="0" applyFont="1" applyFill="1" applyAlignment="1">
      <alignment vertical="center"/>
    </xf>
    <xf numFmtId="0" fontId="33" fillId="0" borderId="0" xfId="0" applyFont="1" applyAlignment="1">
      <alignment vertical="center"/>
    </xf>
    <xf numFmtId="0" fontId="33" fillId="24" borderId="0" xfId="0" applyFont="1" applyFill="1" applyAlignment="1">
      <alignment horizontal="center" vertical="center"/>
    </xf>
    <xf numFmtId="0" fontId="33" fillId="0" borderId="0" xfId="0" applyFont="1" applyAlignment="1">
      <alignment horizontal="center" vertical="center"/>
    </xf>
    <xf numFmtId="1" fontId="34" fillId="0" borderId="16" xfId="0" applyNumberFormat="1" applyFont="1" applyBorder="1" applyAlignment="1">
      <alignment horizontal="center" vertical="center"/>
    </xf>
    <xf numFmtId="0" fontId="34" fillId="0" borderId="17" xfId="0" applyFont="1" applyBorder="1" applyAlignment="1">
      <alignment horizontal="center" vertical="center" wrapText="1"/>
    </xf>
    <xf numFmtId="0" fontId="34" fillId="0" borderId="16" xfId="0" applyFont="1" applyBorder="1" applyAlignment="1">
      <alignment horizontal="center" vertical="center" wrapText="1"/>
    </xf>
    <xf numFmtId="1" fontId="34" fillId="0" borderId="18" xfId="0" applyNumberFormat="1" applyFont="1" applyBorder="1" applyAlignment="1">
      <alignment horizontal="center" vertical="center" wrapText="1"/>
    </xf>
    <xf numFmtId="1" fontId="34" fillId="0" borderId="16" xfId="0" applyNumberFormat="1" applyFont="1" applyBorder="1" applyAlignment="1">
      <alignment horizontal="center" vertical="center" wrapText="1"/>
    </xf>
    <xf numFmtId="2" fontId="34" fillId="0" borderId="16" xfId="0" applyNumberFormat="1" applyFont="1" applyBorder="1" applyAlignment="1">
      <alignment horizontal="center" vertical="center" wrapText="1"/>
    </xf>
    <xf numFmtId="1" fontId="34" fillId="0" borderId="19" xfId="0" applyNumberFormat="1" applyFont="1" applyBorder="1" applyAlignment="1">
      <alignment horizontal="center" vertical="center"/>
    </xf>
    <xf numFmtId="167" fontId="35" fillId="0" borderId="16" xfId="123" applyNumberFormat="1" applyFont="1" applyBorder="1" applyAlignment="1">
      <alignment horizontal="center" vertical="center" wrapText="1"/>
    </xf>
    <xf numFmtId="0" fontId="34" fillId="0" borderId="16" xfId="0" applyFont="1" applyBorder="1" applyAlignment="1">
      <alignment vertical="center" wrapText="1"/>
    </xf>
    <xf numFmtId="0" fontId="34" fillId="28" borderId="16" xfId="0" applyFont="1" applyFill="1" applyBorder="1" applyAlignment="1">
      <alignment vertical="center" wrapText="1"/>
    </xf>
    <xf numFmtId="0" fontId="36" fillId="0" borderId="13" xfId="0" applyFont="1" applyBorder="1" applyAlignment="1">
      <alignment horizontal="left" vertical="top"/>
    </xf>
    <xf numFmtId="0" fontId="34" fillId="0" borderId="13" xfId="0" applyFont="1" applyBorder="1" applyAlignment="1">
      <alignment horizontal="left" vertical="top"/>
    </xf>
    <xf numFmtId="0" fontId="34" fillId="0" borderId="14" xfId="0" applyFont="1" applyBorder="1" applyAlignment="1">
      <alignment horizontal="left" vertical="top"/>
    </xf>
    <xf numFmtId="0" fontId="34" fillId="0" borderId="14" xfId="0" applyFont="1" applyBorder="1" applyAlignment="1">
      <alignment horizontal="left" vertical="top" wrapText="1"/>
    </xf>
    <xf numFmtId="0" fontId="37" fillId="25" borderId="20" xfId="0" applyFont="1" applyFill="1" applyBorder="1" applyAlignment="1">
      <alignment horizontal="left" vertical="top"/>
    </xf>
    <xf numFmtId="0" fontId="34" fillId="0" borderId="12" xfId="123" applyFont="1" applyBorder="1" applyAlignment="1">
      <alignment horizontal="left" vertical="top" wrapText="1"/>
    </xf>
    <xf numFmtId="0" fontId="37" fillId="25" borderId="21" xfId="0" applyFont="1" applyFill="1" applyBorder="1" applyAlignment="1">
      <alignment horizontal="left" vertical="top" wrapText="1"/>
    </xf>
    <xf numFmtId="0" fontId="34" fillId="0" borderId="22" xfId="0" applyFont="1" applyBorder="1" applyAlignment="1">
      <alignment vertical="top" wrapText="1"/>
    </xf>
    <xf numFmtId="0" fontId="37" fillId="25" borderId="23" xfId="0" applyFont="1" applyFill="1" applyBorder="1" applyAlignment="1">
      <alignment horizontal="left" vertical="top"/>
    </xf>
    <xf numFmtId="0" fontId="34" fillId="0" borderId="15" xfId="0" applyFont="1" applyBorder="1" applyAlignment="1">
      <alignment horizontal="left" vertical="top" wrapText="1"/>
    </xf>
    <xf numFmtId="0" fontId="34" fillId="24" borderId="13" xfId="0" applyFont="1" applyFill="1" applyBorder="1"/>
    <xf numFmtId="0" fontId="34" fillId="24" borderId="0" xfId="0" applyFont="1" applyFill="1"/>
    <xf numFmtId="0" fontId="34" fillId="24" borderId="14" xfId="0" applyFont="1" applyFill="1" applyBorder="1"/>
    <xf numFmtId="164" fontId="35" fillId="0" borderId="16" xfId="0" applyNumberFormat="1" applyFont="1" applyBorder="1" applyAlignment="1">
      <alignment horizontal="justify" vertical="top" wrapText="1"/>
    </xf>
    <xf numFmtId="0" fontId="35" fillId="0" borderId="16" xfId="0" applyFont="1" applyBorder="1" applyAlignment="1">
      <alignment horizontal="justify" vertical="top" wrapText="1"/>
    </xf>
    <xf numFmtId="0" fontId="34" fillId="24" borderId="10" xfId="0" applyFont="1" applyFill="1" applyBorder="1"/>
    <xf numFmtId="0" fontId="34" fillId="24" borderId="11" xfId="0" applyFont="1" applyFill="1" applyBorder="1"/>
    <xf numFmtId="0" fontId="34" fillId="24" borderId="12" xfId="0" applyFont="1" applyFill="1" applyBorder="1"/>
    <xf numFmtId="0" fontId="34" fillId="0" borderId="14" xfId="0" applyFont="1" applyBorder="1"/>
    <xf numFmtId="0" fontId="34" fillId="0" borderId="16" xfId="123" applyFont="1" applyBorder="1" applyAlignment="1">
      <alignment horizontal="justify" vertical="top" wrapText="1"/>
    </xf>
    <xf numFmtId="167" fontId="34" fillId="0" borderId="16" xfId="123" applyNumberFormat="1" applyFont="1" applyBorder="1" applyAlignment="1">
      <alignment horizontal="justify" vertical="top" wrapText="1"/>
    </xf>
    <xf numFmtId="0" fontId="34" fillId="0" borderId="16" xfId="123" applyFont="1" applyBorder="1" applyAlignment="1">
      <alignment vertical="top" wrapText="1"/>
    </xf>
    <xf numFmtId="165" fontId="34" fillId="0" borderId="16" xfId="123" applyNumberFormat="1" applyFont="1" applyBorder="1" applyAlignment="1">
      <alignment horizontal="justify" vertical="top" wrapText="1"/>
    </xf>
    <xf numFmtId="0" fontId="37" fillId="25" borderId="16" xfId="0" applyFont="1" applyFill="1" applyBorder="1" applyAlignment="1">
      <alignment vertical="top" wrapText="1"/>
    </xf>
    <xf numFmtId="0" fontId="37" fillId="25" borderId="16" xfId="0" applyFont="1" applyFill="1" applyBorder="1" applyAlignment="1">
      <alignment horizontal="justify" vertical="top" wrapText="1"/>
    </xf>
    <xf numFmtId="0" fontId="37" fillId="25" borderId="24" xfId="0" applyFont="1" applyFill="1" applyBorder="1" applyAlignment="1">
      <alignment horizontal="justify" vertical="top" wrapText="1"/>
    </xf>
    <xf numFmtId="0" fontId="2" fillId="0" borderId="16" xfId="123" applyBorder="1"/>
    <xf numFmtId="0" fontId="39" fillId="29" borderId="16" xfId="0" applyFont="1" applyFill="1" applyBorder="1" applyAlignment="1">
      <alignment horizontal="center" vertical="center" wrapText="1"/>
    </xf>
    <xf numFmtId="0" fontId="39" fillId="29" borderId="16" xfId="0" applyFont="1" applyFill="1" applyBorder="1" applyAlignment="1">
      <alignment vertical="center" wrapText="1"/>
    </xf>
    <xf numFmtId="2" fontId="33" fillId="24" borderId="0" xfId="0" applyNumberFormat="1" applyFont="1" applyFill="1" applyAlignment="1">
      <alignment vertical="center"/>
    </xf>
    <xf numFmtId="168" fontId="33" fillId="24" borderId="0" xfId="0" applyNumberFormat="1" applyFont="1" applyFill="1" applyAlignment="1">
      <alignment vertical="center"/>
    </xf>
    <xf numFmtId="15" fontId="35" fillId="0" borderId="16" xfId="0" applyNumberFormat="1" applyFont="1" applyBorder="1" applyAlignment="1">
      <alignment horizontal="justify" vertical="top" wrapText="1"/>
    </xf>
    <xf numFmtId="0" fontId="41" fillId="29" borderId="16" xfId="0" applyFont="1" applyFill="1" applyBorder="1" applyAlignment="1">
      <alignment horizontal="center" vertical="center" readingOrder="1"/>
    </xf>
    <xf numFmtId="164" fontId="35" fillId="0" borderId="10" xfId="0" applyNumberFormat="1" applyFont="1" applyBorder="1" applyAlignment="1">
      <alignment horizontal="justify" vertical="top" wrapText="1"/>
    </xf>
    <xf numFmtId="0" fontId="35" fillId="0" borderId="11" xfId="0" applyFont="1" applyBorder="1" applyAlignment="1">
      <alignment horizontal="justify" vertical="top" wrapText="1"/>
    </xf>
    <xf numFmtId="168" fontId="34" fillId="0" borderId="16" xfId="0" applyNumberFormat="1" applyFont="1" applyBorder="1" applyAlignment="1">
      <alignment horizontal="center" vertical="center"/>
    </xf>
    <xf numFmtId="0" fontId="43" fillId="29" borderId="29" xfId="0" applyFont="1" applyFill="1" applyBorder="1" applyAlignment="1">
      <alignment horizontal="center" vertical="center"/>
    </xf>
    <xf numFmtId="0" fontId="43" fillId="29" borderId="30" xfId="0" applyFont="1" applyFill="1" applyBorder="1" applyAlignment="1">
      <alignment horizontal="center" vertical="center"/>
    </xf>
    <xf numFmtId="0" fontId="43" fillId="29" borderId="31" xfId="0" applyFont="1" applyFill="1" applyBorder="1" applyAlignment="1">
      <alignment horizontal="center" vertical="center"/>
    </xf>
    <xf numFmtId="0" fontId="44" fillId="0" borderId="16" xfId="0" applyFont="1" applyBorder="1" applyAlignment="1">
      <alignment horizontal="center" vertical="top"/>
    </xf>
    <xf numFmtId="0" fontId="44" fillId="0" borderId="16" xfId="0" applyFont="1" applyBorder="1" applyAlignment="1">
      <alignment vertical="top"/>
    </xf>
    <xf numFmtId="0" fontId="44" fillId="0" borderId="16" xfId="0" applyFont="1" applyBorder="1" applyAlignment="1">
      <alignment vertical="top" wrapText="1"/>
    </xf>
    <xf numFmtId="0" fontId="0" fillId="0" borderId="16" xfId="0" applyBorder="1"/>
    <xf numFmtId="0" fontId="0" fillId="30" borderId="16" xfId="0" applyFill="1" applyBorder="1"/>
    <xf numFmtId="0" fontId="39" fillId="31" borderId="32" xfId="0" applyFont="1" applyFill="1" applyBorder="1" applyAlignment="1" applyProtection="1">
      <alignment horizontal="center" vertical="center" wrapText="1"/>
      <protection locked="0"/>
    </xf>
    <xf numFmtId="0" fontId="39" fillId="31" borderId="33" xfId="0" applyFont="1" applyFill="1" applyBorder="1" applyAlignment="1">
      <alignment horizontal="center" vertical="center" wrapText="1"/>
    </xf>
    <xf numFmtId="0" fontId="34" fillId="0" borderId="19" xfId="0" applyFont="1" applyBorder="1" applyAlignment="1">
      <alignment horizontal="left" vertical="top"/>
    </xf>
    <xf numFmtId="0" fontId="34" fillId="0" borderId="18" xfId="0" applyFont="1" applyBorder="1" applyAlignment="1">
      <alignment horizontal="left" vertical="top"/>
    </xf>
    <xf numFmtId="0" fontId="0" fillId="28" borderId="16" xfId="0" applyFill="1" applyBorder="1"/>
    <xf numFmtId="0" fontId="30" fillId="28" borderId="16" xfId="0" applyFont="1" applyFill="1" applyBorder="1" applyAlignment="1">
      <alignment horizontal="right"/>
    </xf>
    <xf numFmtId="0" fontId="30" fillId="28" borderId="16" xfId="0" applyFont="1" applyFill="1" applyBorder="1"/>
    <xf numFmtId="166" fontId="30" fillId="28" borderId="16" xfId="0" applyNumberFormat="1" applyFont="1" applyFill="1" applyBorder="1"/>
    <xf numFmtId="9" fontId="0" fillId="0" borderId="16" xfId="0" applyNumberFormat="1" applyBorder="1"/>
    <xf numFmtId="0" fontId="51" fillId="29" borderId="16" xfId="0" applyFont="1" applyFill="1" applyBorder="1" applyAlignment="1">
      <alignment horizontal="center"/>
    </xf>
    <xf numFmtId="167" fontId="35" fillId="0" borderId="36" xfId="123" applyNumberFormat="1" applyFont="1" applyBorder="1" applyAlignment="1">
      <alignment horizontal="center" vertical="center" wrapText="1"/>
    </xf>
    <xf numFmtId="0" fontId="34" fillId="0" borderId="36" xfId="0" applyFont="1" applyBorder="1" applyAlignment="1">
      <alignment vertical="center" wrapText="1"/>
    </xf>
    <xf numFmtId="167" fontId="35" fillId="0" borderId="24" xfId="123" applyNumberFormat="1" applyFont="1" applyBorder="1" applyAlignment="1">
      <alignment horizontal="center" vertical="center" wrapText="1"/>
    </xf>
    <xf numFmtId="0" fontId="34" fillId="28" borderId="24" xfId="0" applyFont="1" applyFill="1" applyBorder="1" applyAlignment="1">
      <alignment vertical="center" wrapText="1"/>
    </xf>
    <xf numFmtId="0" fontId="34" fillId="0" borderId="24" xfId="0" applyFont="1" applyBorder="1" applyAlignment="1">
      <alignment vertical="center" wrapText="1"/>
    </xf>
    <xf numFmtId="0" fontId="34" fillId="28" borderId="36" xfId="0" applyFont="1" applyFill="1" applyBorder="1" applyAlignment="1">
      <alignment vertical="center" wrapText="1"/>
    </xf>
    <xf numFmtId="0" fontId="34" fillId="0" borderId="19" xfId="0" applyFont="1" applyBorder="1" applyAlignment="1">
      <alignment horizontal="center" vertical="center" wrapText="1"/>
    </xf>
    <xf numFmtId="0" fontId="30" fillId="32" borderId="16" xfId="0" applyFont="1" applyFill="1" applyBorder="1"/>
    <xf numFmtId="0" fontId="52" fillId="34" borderId="33" xfId="0" applyFont="1" applyFill="1" applyBorder="1"/>
    <xf numFmtId="0" fontId="52" fillId="34" borderId="15" xfId="0" applyFont="1" applyFill="1" applyBorder="1"/>
    <xf numFmtId="0" fontId="53" fillId="0" borderId="15" xfId="0" applyFont="1" applyBorder="1"/>
    <xf numFmtId="10" fontId="53" fillId="0" borderId="15" xfId="0" applyNumberFormat="1" applyFont="1" applyBorder="1"/>
    <xf numFmtId="0" fontId="53" fillId="35" borderId="15" xfId="0" applyFont="1" applyFill="1" applyBorder="1"/>
    <xf numFmtId="0" fontId="54" fillId="0" borderId="0" xfId="0" applyFont="1"/>
    <xf numFmtId="0" fontId="53" fillId="36" borderId="33" xfId="0" applyFont="1" applyFill="1" applyBorder="1"/>
    <xf numFmtId="10" fontId="53" fillId="37" borderId="33" xfId="0" applyNumberFormat="1" applyFont="1" applyFill="1" applyBorder="1"/>
    <xf numFmtId="166" fontId="30" fillId="28" borderId="0" xfId="0" applyNumberFormat="1" applyFont="1" applyFill="1"/>
    <xf numFmtId="0" fontId="41" fillId="29" borderId="19" xfId="0" applyFont="1" applyFill="1" applyBorder="1" applyAlignment="1">
      <alignment horizontal="center" vertical="center" readingOrder="1"/>
    </xf>
    <xf numFmtId="0" fontId="41" fillId="29" borderId="37" xfId="0" applyFont="1" applyFill="1" applyBorder="1" applyAlignment="1">
      <alignment horizontal="center" vertical="center" readingOrder="1"/>
    </xf>
    <xf numFmtId="0" fontId="41" fillId="29" borderId="38" xfId="0" applyFont="1" applyFill="1" applyBorder="1" applyAlignment="1">
      <alignment horizontal="center" vertical="center" readingOrder="1"/>
    </xf>
    <xf numFmtId="1" fontId="40" fillId="38" borderId="16" xfId="117" applyNumberFormat="1" applyFont="1" applyFill="1" applyBorder="1" applyAlignment="1">
      <alignment horizontal="center" vertical="center"/>
    </xf>
    <xf numFmtId="0" fontId="33" fillId="30" borderId="25" xfId="0" applyFont="1" applyFill="1" applyBorder="1" applyAlignment="1">
      <alignment vertical="center"/>
    </xf>
    <xf numFmtId="0" fontId="33" fillId="30" borderId="26" xfId="0" applyFont="1" applyFill="1" applyBorder="1" applyAlignment="1">
      <alignment horizontal="center" vertical="center"/>
    </xf>
    <xf numFmtId="0" fontId="33" fillId="30" borderId="27" xfId="0" applyFont="1" applyFill="1" applyBorder="1" applyAlignment="1">
      <alignment vertical="center"/>
    </xf>
    <xf numFmtId="9" fontId="42" fillId="30" borderId="27" xfId="0" applyNumberFormat="1" applyFont="1" applyFill="1" applyBorder="1" applyAlignment="1">
      <alignment horizontal="center" vertical="center"/>
    </xf>
    <xf numFmtId="1" fontId="42" fillId="30" borderId="27" xfId="0" applyNumberFormat="1" applyFont="1" applyFill="1" applyBorder="1" applyAlignment="1">
      <alignment horizontal="center" vertical="center" wrapText="1"/>
    </xf>
    <xf numFmtId="164" fontId="42" fillId="30" borderId="27" xfId="0" applyNumberFormat="1" applyFont="1" applyFill="1" applyBorder="1" applyAlignment="1">
      <alignment horizontal="center" vertical="center" wrapText="1"/>
    </xf>
    <xf numFmtId="1" fontId="42" fillId="30" borderId="27" xfId="0" applyNumberFormat="1" applyFont="1" applyFill="1" applyBorder="1" applyAlignment="1">
      <alignment horizontal="center" vertical="center"/>
    </xf>
    <xf numFmtId="3" fontId="42" fillId="30" borderId="27" xfId="0" applyNumberFormat="1" applyFont="1" applyFill="1" applyBorder="1" applyAlignment="1">
      <alignment horizontal="center" vertical="center"/>
    </xf>
    <xf numFmtId="0" fontId="42" fillId="30" borderId="27" xfId="0" applyFont="1" applyFill="1" applyBorder="1" applyAlignment="1">
      <alignment horizontal="center" vertical="center"/>
    </xf>
    <xf numFmtId="1" fontId="37" fillId="30" borderId="28" xfId="0" applyNumberFormat="1" applyFont="1" applyFill="1" applyBorder="1" applyAlignment="1">
      <alignment horizontal="center" vertical="center" wrapText="1"/>
    </xf>
    <xf numFmtId="0" fontId="53" fillId="39" borderId="0" xfId="0" applyFont="1" applyFill="1"/>
    <xf numFmtId="0" fontId="53" fillId="28" borderId="0" xfId="0" applyFont="1" applyFill="1"/>
    <xf numFmtId="10" fontId="53" fillId="28" borderId="0" xfId="0" applyNumberFormat="1" applyFont="1" applyFill="1"/>
    <xf numFmtId="0" fontId="52" fillId="34" borderId="35" xfId="0" applyFont="1" applyFill="1" applyBorder="1"/>
    <xf numFmtId="0" fontId="52" fillId="34" borderId="14" xfId="0" applyFont="1" applyFill="1" applyBorder="1"/>
    <xf numFmtId="0" fontId="54" fillId="28" borderId="0" xfId="0" applyFont="1" applyFill="1"/>
    <xf numFmtId="0" fontId="53" fillId="0" borderId="0" xfId="0" applyFont="1"/>
    <xf numFmtId="10" fontId="53" fillId="0" borderId="0" xfId="0" applyNumberFormat="1" applyFont="1"/>
    <xf numFmtId="0" fontId="58" fillId="28" borderId="16" xfId="142" applyFont="1" applyFill="1" applyBorder="1"/>
    <xf numFmtId="0" fontId="58" fillId="28" borderId="19" xfId="142" applyFont="1" applyFill="1" applyBorder="1"/>
    <xf numFmtId="0" fontId="53" fillId="0" borderId="16" xfId="0" applyFont="1" applyBorder="1"/>
    <xf numFmtId="10" fontId="53" fillId="0" borderId="16" xfId="0" applyNumberFormat="1" applyFont="1" applyBorder="1"/>
    <xf numFmtId="0" fontId="53" fillId="38" borderId="16" xfId="0" applyFont="1" applyFill="1" applyBorder="1"/>
    <xf numFmtId="10" fontId="53" fillId="38" borderId="16" xfId="0" applyNumberFormat="1" applyFont="1" applyFill="1" applyBorder="1"/>
    <xf numFmtId="0" fontId="58" fillId="28" borderId="13" xfId="142" applyFont="1" applyFill="1" applyBorder="1"/>
    <xf numFmtId="0" fontId="53" fillId="40" borderId="0" xfId="0" applyFont="1" applyFill="1"/>
    <xf numFmtId="10" fontId="53" fillId="40" borderId="0" xfId="0" applyNumberFormat="1" applyFont="1" applyFill="1"/>
    <xf numFmtId="0" fontId="53" fillId="0" borderId="0" xfId="0" applyFont="1" applyAlignment="1">
      <alignment wrapText="1"/>
    </xf>
    <xf numFmtId="0" fontId="53" fillId="28" borderId="0" xfId="0" applyFont="1" applyFill="1" applyAlignment="1">
      <alignment wrapText="1"/>
    </xf>
    <xf numFmtId="0" fontId="53" fillId="36" borderId="39" xfId="0" applyFont="1" applyFill="1" applyBorder="1"/>
    <xf numFmtId="166" fontId="2" fillId="28" borderId="36" xfId="131" applyNumberFormat="1" applyFont="1" applyFill="1" applyBorder="1"/>
    <xf numFmtId="0" fontId="39" fillId="31" borderId="16" xfId="0" applyFont="1" applyFill="1" applyBorder="1" applyAlignment="1">
      <alignment horizontal="center" vertical="center" wrapText="1"/>
    </xf>
    <xf numFmtId="0" fontId="0" fillId="29" borderId="14" xfId="0" applyFill="1" applyBorder="1" applyAlignment="1">
      <alignment horizontal="center"/>
    </xf>
    <xf numFmtId="0" fontId="56" fillId="33" borderId="13" xfId="0" applyFont="1" applyFill="1" applyBorder="1" applyAlignment="1">
      <alignment horizontal="center"/>
    </xf>
    <xf numFmtId="0" fontId="56" fillId="33" borderId="0" xfId="0" applyFont="1" applyFill="1" applyAlignment="1">
      <alignment horizontal="center"/>
    </xf>
    <xf numFmtId="9" fontId="0" fillId="28" borderId="0" xfId="0" applyNumberFormat="1" applyFill="1"/>
    <xf numFmtId="0" fontId="30" fillId="28" borderId="0" xfId="0" applyFont="1" applyFill="1" applyAlignment="1">
      <alignment wrapText="1"/>
    </xf>
    <xf numFmtId="0" fontId="52" fillId="33" borderId="19" xfId="0" applyFont="1" applyFill="1" applyBorder="1"/>
    <xf numFmtId="0" fontId="52" fillId="33" borderId="34" xfId="0" applyFont="1" applyFill="1" applyBorder="1"/>
    <xf numFmtId="0" fontId="52" fillId="33" borderId="18" xfId="0" applyFont="1" applyFill="1" applyBorder="1"/>
    <xf numFmtId="0" fontId="58" fillId="28" borderId="0" xfId="142" applyFont="1" applyFill="1"/>
    <xf numFmtId="0" fontId="53" fillId="38" borderId="33" xfId="0" applyFont="1" applyFill="1" applyBorder="1"/>
    <xf numFmtId="10" fontId="53" fillId="38" borderId="33" xfId="0" applyNumberFormat="1" applyFont="1" applyFill="1" applyBorder="1"/>
    <xf numFmtId="0" fontId="53" fillId="0" borderId="33" xfId="0" applyFont="1" applyBorder="1"/>
    <xf numFmtId="0" fontId="53" fillId="36" borderId="16" xfId="0" applyFont="1" applyFill="1" applyBorder="1"/>
    <xf numFmtId="10" fontId="53" fillId="37" borderId="16" xfId="0" applyNumberFormat="1" applyFont="1" applyFill="1" applyBorder="1"/>
    <xf numFmtId="0" fontId="53" fillId="34" borderId="33" xfId="0" applyFont="1" applyFill="1" applyBorder="1"/>
    <xf numFmtId="0" fontId="50" fillId="41" borderId="16" xfId="0" applyFont="1" applyFill="1" applyBorder="1"/>
    <xf numFmtId="0" fontId="50" fillId="28" borderId="16" xfId="0" applyFont="1" applyFill="1" applyBorder="1"/>
    <xf numFmtId="10" fontId="53" fillId="0" borderId="14" xfId="0" applyNumberFormat="1" applyFont="1" applyBorder="1"/>
    <xf numFmtId="0" fontId="2" fillId="28" borderId="0" xfId="0" applyFont="1" applyFill="1"/>
    <xf numFmtId="0" fontId="2" fillId="28" borderId="0" xfId="0" applyFont="1" applyFill="1" applyAlignment="1">
      <alignment vertical="center" wrapText="1"/>
    </xf>
    <xf numFmtId="166" fontId="2" fillId="28" borderId="16" xfId="131" applyNumberFormat="1" applyFont="1" applyFill="1" applyBorder="1"/>
    <xf numFmtId="0" fontId="2" fillId="0" borderId="0" xfId="0" applyFont="1"/>
    <xf numFmtId="166" fontId="2" fillId="28" borderId="19" xfId="131" applyNumberFormat="1" applyFont="1" applyFill="1" applyBorder="1"/>
    <xf numFmtId="0" fontId="5" fillId="0" borderId="0" xfId="100" applyAlignment="1" applyProtection="1"/>
    <xf numFmtId="0" fontId="58" fillId="30" borderId="16" xfId="142" applyFont="1" applyFill="1" applyBorder="1"/>
    <xf numFmtId="0" fontId="0" fillId="24" borderId="16" xfId="0" applyFill="1" applyBorder="1" applyAlignment="1">
      <alignment horizontal="center"/>
    </xf>
    <xf numFmtId="0" fontId="38" fillId="0" borderId="16" xfId="0" applyFont="1" applyBorder="1" applyAlignment="1">
      <alignment horizontal="left"/>
    </xf>
    <xf numFmtId="0" fontId="45" fillId="24" borderId="16" xfId="0" applyFont="1" applyFill="1" applyBorder="1" applyAlignment="1">
      <alignment horizontal="left" vertical="center"/>
    </xf>
    <xf numFmtId="0" fontId="45" fillId="0" borderId="13" xfId="0" applyFont="1" applyBorder="1" applyAlignment="1">
      <alignment horizontal="left"/>
    </xf>
    <xf numFmtId="0" fontId="45" fillId="0" borderId="0" xfId="0" applyFont="1" applyAlignment="1">
      <alignment horizontal="left"/>
    </xf>
    <xf numFmtId="0" fontId="35" fillId="0" borderId="16" xfId="0" applyFont="1" applyBorder="1" applyAlignment="1">
      <alignment horizontal="center" vertical="top" wrapText="1"/>
    </xf>
    <xf numFmtId="0" fontId="37" fillId="25" borderId="16" xfId="0" applyFont="1" applyFill="1" applyBorder="1" applyAlignment="1">
      <alignment horizontal="center" vertical="top" wrapText="1"/>
    </xf>
    <xf numFmtId="0" fontId="5" fillId="0" borderId="16" xfId="100" applyBorder="1" applyAlignment="1" applyProtection="1">
      <alignment horizontal="left" vertical="top" wrapText="1"/>
    </xf>
    <xf numFmtId="0" fontId="34" fillId="0" borderId="16" xfId="123" applyFont="1" applyBorder="1" applyAlignment="1">
      <alignment horizontal="left" vertical="top" wrapText="1"/>
    </xf>
    <xf numFmtId="0" fontId="34" fillId="0" borderId="19" xfId="0" applyFont="1" applyBorder="1" applyAlignment="1">
      <alignment horizontal="left" vertical="top"/>
    </xf>
    <xf numFmtId="0" fontId="34" fillId="0" borderId="18" xfId="0" applyFont="1" applyBorder="1" applyAlignment="1">
      <alignment horizontal="left" vertical="top"/>
    </xf>
    <xf numFmtId="0" fontId="2" fillId="0" borderId="16" xfId="0" applyFont="1" applyBorder="1" applyAlignment="1">
      <alignment horizontal="center" vertical="top"/>
    </xf>
    <xf numFmtId="0" fontId="34" fillId="0" borderId="10" xfId="0" applyFont="1" applyBorder="1" applyAlignment="1">
      <alignment horizontal="center" vertical="top"/>
    </xf>
    <xf numFmtId="0" fontId="34" fillId="0" borderId="12" xfId="0" applyFont="1" applyBorder="1" applyAlignment="1">
      <alignment horizontal="center" vertical="top"/>
    </xf>
    <xf numFmtId="0" fontId="34" fillId="0" borderId="13" xfId="0" applyFont="1" applyBorder="1" applyAlignment="1">
      <alignment horizontal="left" vertical="top"/>
    </xf>
    <xf numFmtId="0" fontId="34" fillId="0" borderId="14" xfId="0" applyFont="1" applyBorder="1" applyAlignment="1">
      <alignment horizontal="left" vertical="top"/>
    </xf>
    <xf numFmtId="0" fontId="45" fillId="27" borderId="16" xfId="0" applyFont="1" applyFill="1" applyBorder="1" applyAlignment="1">
      <alignment horizontal="left" vertical="center" wrapText="1"/>
    </xf>
    <xf numFmtId="0" fontId="38" fillId="0" borderId="16" xfId="0" applyFont="1" applyBorder="1" applyAlignment="1">
      <alignment horizontal="left" vertical="top"/>
    </xf>
    <xf numFmtId="0" fontId="34" fillId="26" borderId="16" xfId="0" applyFont="1" applyFill="1" applyBorder="1" applyAlignment="1">
      <alignment horizontal="left" vertical="center" wrapText="1"/>
    </xf>
    <xf numFmtId="0" fontId="46" fillId="0" borderId="19" xfId="0" applyFont="1" applyBorder="1" applyAlignment="1">
      <alignment horizontal="center" vertical="center" wrapText="1"/>
    </xf>
    <xf numFmtId="0" fontId="46" fillId="0" borderId="34" xfId="0" applyFont="1" applyBorder="1" applyAlignment="1">
      <alignment horizontal="center" vertical="center" wrapText="1"/>
    </xf>
    <xf numFmtId="0" fontId="46" fillId="0" borderId="18" xfId="0" applyFont="1" applyBorder="1" applyAlignment="1">
      <alignment horizontal="center" vertical="center" wrapText="1"/>
    </xf>
    <xf numFmtId="0" fontId="47" fillId="0" borderId="19" xfId="0" applyFont="1" applyBorder="1" applyAlignment="1">
      <alignment horizontal="left" vertical="top"/>
    </xf>
    <xf numFmtId="0" fontId="47" fillId="0" borderId="34" xfId="0" applyFont="1" applyBorder="1" applyAlignment="1">
      <alignment horizontal="left" vertical="top"/>
    </xf>
    <xf numFmtId="0" fontId="47" fillId="0" borderId="18" xfId="0" applyFont="1" applyBorder="1" applyAlignment="1">
      <alignment horizontal="left" vertical="top"/>
    </xf>
    <xf numFmtId="0" fontId="6" fillId="24" borderId="14" xfId="0" applyFont="1" applyFill="1" applyBorder="1" applyAlignment="1">
      <alignment horizontal="center" vertical="top"/>
    </xf>
    <xf numFmtId="0" fontId="48" fillId="0" borderId="24" xfId="0" applyFont="1" applyBorder="1" applyAlignment="1">
      <alignment horizontal="center" vertical="center" readingOrder="1"/>
    </xf>
    <xf numFmtId="0" fontId="48" fillId="0" borderId="35" xfId="0" applyFont="1" applyBorder="1" applyAlignment="1">
      <alignment horizontal="center" vertical="center" readingOrder="1"/>
    </xf>
    <xf numFmtId="0" fontId="48" fillId="0" borderId="33" xfId="0" applyFont="1" applyBorder="1" applyAlignment="1">
      <alignment horizontal="center" vertical="center" readingOrder="1"/>
    </xf>
    <xf numFmtId="0" fontId="48" fillId="0" borderId="24" xfId="0" applyFont="1" applyBorder="1" applyAlignment="1">
      <alignment horizontal="center" vertical="center" wrapText="1" readingOrder="1"/>
    </xf>
    <xf numFmtId="0" fontId="48" fillId="0" borderId="35" xfId="0" applyFont="1" applyBorder="1" applyAlignment="1">
      <alignment horizontal="center" vertical="center" wrapText="1" readingOrder="1"/>
    </xf>
    <xf numFmtId="0" fontId="48" fillId="0" borderId="33" xfId="0" applyFont="1" applyBorder="1" applyAlignment="1">
      <alignment horizontal="center" vertical="center" wrapText="1" readingOrder="1"/>
    </xf>
    <xf numFmtId="0" fontId="52" fillId="33" borderId="19" xfId="0" applyFont="1" applyFill="1" applyBorder="1"/>
    <xf numFmtId="0" fontId="52" fillId="33" borderId="34" xfId="0" applyFont="1" applyFill="1" applyBorder="1"/>
    <xf numFmtId="0" fontId="52" fillId="33" borderId="18" xfId="0" applyFont="1" applyFill="1" applyBorder="1"/>
    <xf numFmtId="0" fontId="53" fillId="39" borderId="41" xfId="0" applyFont="1" applyFill="1" applyBorder="1" applyAlignment="1">
      <alignment horizontal="center"/>
    </xf>
    <xf numFmtId="0" fontId="55" fillId="28" borderId="29" xfId="0" applyFont="1" applyFill="1" applyBorder="1" applyAlignment="1">
      <alignment horizontal="center" vertical="center"/>
    </xf>
    <xf numFmtId="0" fontId="42" fillId="28" borderId="30" xfId="0" applyFont="1" applyFill="1" applyBorder="1" applyAlignment="1">
      <alignment horizontal="center" vertical="center"/>
    </xf>
    <xf numFmtId="0" fontId="42" fillId="28" borderId="40" xfId="0" applyFont="1" applyFill="1" applyBorder="1" applyAlignment="1">
      <alignment horizontal="center" vertical="center"/>
    </xf>
    <xf numFmtId="0" fontId="47" fillId="0" borderId="16" xfId="0" applyFont="1" applyBorder="1" applyAlignment="1">
      <alignment horizontal="left" vertical="center" wrapText="1"/>
    </xf>
    <xf numFmtId="0" fontId="7" fillId="24" borderId="16" xfId="0" applyFont="1" applyFill="1" applyBorder="1" applyAlignment="1">
      <alignment horizontal="center" vertical="top"/>
    </xf>
    <xf numFmtId="0" fontId="44" fillId="0" borderId="24" xfId="0" applyFont="1" applyBorder="1" applyAlignment="1">
      <alignment horizontal="left" vertical="center" wrapText="1"/>
    </xf>
    <xf numFmtId="0" fontId="49" fillId="0" borderId="24" xfId="0" applyFont="1" applyBorder="1" applyAlignment="1">
      <alignment horizontal="left" vertical="center" wrapText="1"/>
    </xf>
  </cellXfs>
  <cellStyles count="144">
    <cellStyle name="20% - Accent1" xfId="1" builtinId="30" customBuiltin="1"/>
    <cellStyle name="20% - Accent1 2" xfId="2" xr:uid="{A2231FA1-42BD-4309-A61D-4B72558F0E06}"/>
    <cellStyle name="20% - Accent1 3" xfId="3" xr:uid="{1A940818-1F0F-4266-A7FA-AA380976AC1D}"/>
    <cellStyle name="20% - Accent2" xfId="4" builtinId="34" customBuiltin="1"/>
    <cellStyle name="20% - Accent2 2" xfId="5" xr:uid="{C05D86BE-4286-44BF-9D0A-215C6BCDC18C}"/>
    <cellStyle name="20% - Accent2 3" xfId="6" xr:uid="{40DE491D-D408-4B33-99C4-DDEEE3A39F7B}"/>
    <cellStyle name="20% - Accent3" xfId="7" builtinId="38" customBuiltin="1"/>
    <cellStyle name="20% - Accent3 2" xfId="8" xr:uid="{18C07956-7A3E-4AC6-9331-8D63431512F0}"/>
    <cellStyle name="20% - Accent3 3" xfId="9" xr:uid="{39FE2614-45CB-4020-AEA6-01B6F5287B2D}"/>
    <cellStyle name="20% - Accent4" xfId="10" builtinId="42" customBuiltin="1"/>
    <cellStyle name="20% - Accent4 2" xfId="11" xr:uid="{29F4A8D4-7AAE-4F89-B293-EB126F372135}"/>
    <cellStyle name="20% - Accent4 3" xfId="12" xr:uid="{4D8FCC9F-E65A-4540-9856-934360F41CD0}"/>
    <cellStyle name="20% - Accent5" xfId="13" builtinId="46" customBuiltin="1"/>
    <cellStyle name="20% - Accent5 2" xfId="14" xr:uid="{FF07394D-2961-464F-A663-BB459BEA1F0C}"/>
    <cellStyle name="20% - Accent5 3" xfId="15" xr:uid="{0570752F-33B0-4B8D-B503-8C6C25581CFF}"/>
    <cellStyle name="20% - Accent6" xfId="16" builtinId="50" customBuiltin="1"/>
    <cellStyle name="20% - Accent6 2" xfId="17" xr:uid="{A7614E75-D5A5-4005-A8CF-5EE1D7AA3DD5}"/>
    <cellStyle name="20% - Accent6 3" xfId="18" xr:uid="{6297580A-C4BC-4DBD-BF26-4318AF759ED4}"/>
    <cellStyle name="40% - Accent1" xfId="19" builtinId="31" customBuiltin="1"/>
    <cellStyle name="40% - Accent1 2" xfId="20" xr:uid="{6A110BAF-C947-4471-8986-86936A3FEDD8}"/>
    <cellStyle name="40% - Accent1 3" xfId="21" xr:uid="{AE524743-03F4-4C39-BDF8-6BCF3F46980A}"/>
    <cellStyle name="40% - Accent2" xfId="22" builtinId="35" customBuiltin="1"/>
    <cellStyle name="40% - Accent2 2" xfId="23" xr:uid="{91EC75BC-1ECB-4661-BA4B-53BC4C8782DF}"/>
    <cellStyle name="40% - Accent2 3" xfId="24" xr:uid="{7B32DFB2-E8E6-40ED-A202-DD07C6CA2478}"/>
    <cellStyle name="40% - Accent3" xfId="25" builtinId="39" customBuiltin="1"/>
    <cellStyle name="40% - Accent3 2" xfId="26" xr:uid="{5135A25F-51ED-4A46-9C03-A44C905C0229}"/>
    <cellStyle name="40% - Accent3 3" xfId="27" xr:uid="{0DA11F34-0898-4F8E-9362-9026465700E3}"/>
    <cellStyle name="40% - Accent4" xfId="28" builtinId="43" customBuiltin="1"/>
    <cellStyle name="40% - Accent4 2" xfId="29" xr:uid="{F3133D0D-17EB-4F6D-87BD-7A81F5D7C5F1}"/>
    <cellStyle name="40% - Accent4 3" xfId="30" xr:uid="{EA773620-B644-4458-BC28-8FCE2C48C057}"/>
    <cellStyle name="40% - Accent5" xfId="31" builtinId="47" customBuiltin="1"/>
    <cellStyle name="40% - Accent5 2" xfId="32" xr:uid="{F7E5EEC8-DCF2-4F81-BB1C-AC964B94CC7F}"/>
    <cellStyle name="40% - Accent5 3" xfId="33" xr:uid="{2BF31AC8-CC94-424D-9AFC-B35AE7EFBF50}"/>
    <cellStyle name="40% - Accent6" xfId="34" builtinId="51" customBuiltin="1"/>
    <cellStyle name="40% - Accent6 2" xfId="35" xr:uid="{A4ED6E80-3FDF-4FB4-90EB-A5DC8812A39E}"/>
    <cellStyle name="40% - Accent6 3" xfId="36" xr:uid="{0CC18D5E-97A9-49B5-A5C6-BB4E9A80B592}"/>
    <cellStyle name="60% - Accent1" xfId="37" builtinId="32" customBuiltin="1"/>
    <cellStyle name="60% - Accent1 2" xfId="38" xr:uid="{730420D4-9002-459C-8755-A1744F3D2BBB}"/>
    <cellStyle name="60% - Accent1 3" xfId="39" xr:uid="{8FDBB595-67D3-4BD4-8489-C498A61FE104}"/>
    <cellStyle name="60% - Accent2" xfId="40" builtinId="36" customBuiltin="1"/>
    <cellStyle name="60% - Accent2 2" xfId="41" xr:uid="{8F8E9C7A-06BE-4DD3-9532-6476D892EA4C}"/>
    <cellStyle name="60% - Accent2 3" xfId="42" xr:uid="{705E9A2C-1C02-4D45-82B2-F01DCCAA3989}"/>
    <cellStyle name="60% - Accent3" xfId="43" builtinId="40" customBuiltin="1"/>
    <cellStyle name="60% - Accent3 2" xfId="44" xr:uid="{C0B30711-C9B1-4023-B7FC-94F5452052DE}"/>
    <cellStyle name="60% - Accent3 3" xfId="45" xr:uid="{C6E400C4-DC96-4DE8-B676-18BD5D17488B}"/>
    <cellStyle name="60% - Accent4" xfId="46" builtinId="44" customBuiltin="1"/>
    <cellStyle name="60% - Accent4 2" xfId="47" xr:uid="{5C82B875-9C9A-4F3B-A7CB-FAF19DC0DC5F}"/>
    <cellStyle name="60% - Accent4 3" xfId="48" xr:uid="{284A1E10-81E6-4EE2-A09A-508AAB3563A1}"/>
    <cellStyle name="60% - Accent5" xfId="49" builtinId="48" customBuiltin="1"/>
    <cellStyle name="60% - Accent5 2" xfId="50" xr:uid="{008D7D1D-FAE5-4D0D-BA4D-F2262E21E420}"/>
    <cellStyle name="60% - Accent5 3" xfId="51" xr:uid="{0F49E2C6-0A46-4028-8E8E-C88552337FDC}"/>
    <cellStyle name="60% - Accent6" xfId="52" builtinId="52" customBuiltin="1"/>
    <cellStyle name="60% - Accent6 2" xfId="53" xr:uid="{A138AA36-3377-463D-B68D-B091C91B037D}"/>
    <cellStyle name="60% - Accent6 3" xfId="54" xr:uid="{22EE201C-54EA-46FE-A954-1A67ABC6ED5F}"/>
    <cellStyle name="Accent1" xfId="55" builtinId="29" customBuiltin="1"/>
    <cellStyle name="Accent1 2" xfId="56" xr:uid="{9BA76C6E-94F0-4ECC-B963-29B5BF6FDA06}"/>
    <cellStyle name="Accent1 3" xfId="57" xr:uid="{0FC59278-3C19-4CA8-BA1A-5529C5F6B17C}"/>
    <cellStyle name="Accent2" xfId="58" builtinId="33" customBuiltin="1"/>
    <cellStyle name="Accent2 2" xfId="59" xr:uid="{20B3F78A-D430-4830-96AE-0AD5898F777A}"/>
    <cellStyle name="Accent2 3" xfId="60" xr:uid="{DECDA7E6-70BC-4A73-A97C-713BBE22C590}"/>
    <cellStyle name="Accent3" xfId="61" builtinId="37" customBuiltin="1"/>
    <cellStyle name="Accent3 2" xfId="62" xr:uid="{07B4A35A-9432-4DE4-A450-2C438AC53EA4}"/>
    <cellStyle name="Accent3 3" xfId="63" xr:uid="{7608E2E9-FA5F-49E7-9CE2-DBABE273723E}"/>
    <cellStyle name="Accent4" xfId="64" builtinId="41" customBuiltin="1"/>
    <cellStyle name="Accent4 2" xfId="65" xr:uid="{A8E807AF-74ED-4EFF-A6BF-7B333E992609}"/>
    <cellStyle name="Accent4 3" xfId="66" xr:uid="{38B380A8-5FA4-44D6-8E7C-8C0D252F4664}"/>
    <cellStyle name="Accent5" xfId="67" builtinId="45" customBuiltin="1"/>
    <cellStyle name="Accent5 2" xfId="68" xr:uid="{20EC17EC-D741-49CA-A701-C5451EFCE12C}"/>
    <cellStyle name="Accent5 3" xfId="69" xr:uid="{E17D066D-BE83-492B-84DE-31A82AD335D5}"/>
    <cellStyle name="Accent6" xfId="70" builtinId="49" customBuiltin="1"/>
    <cellStyle name="Accent6 2" xfId="71" xr:uid="{1D2A3FCC-E6A7-4446-9A00-7223E4F36E41}"/>
    <cellStyle name="Accent6 3" xfId="72" xr:uid="{460B80A2-1FFC-4C88-A158-BDEC6EED8059}"/>
    <cellStyle name="Bad" xfId="73" builtinId="27" customBuiltin="1"/>
    <cellStyle name="Bad 2" xfId="74" xr:uid="{EE861DF4-B580-47C3-8E61-24E831852DCB}"/>
    <cellStyle name="Bad 3" xfId="75" xr:uid="{7D444F6F-0E11-42F5-8DFA-1FB4B3767888}"/>
    <cellStyle name="Calculation" xfId="76" builtinId="22" customBuiltin="1"/>
    <cellStyle name="Calculation 2" xfId="77" xr:uid="{09B101DB-933D-4D04-A984-C38F9D6D0708}"/>
    <cellStyle name="Calculation 3" xfId="78" xr:uid="{0B8DC97A-36B8-4778-8E60-667AAD0B0932}"/>
    <cellStyle name="Check Cell" xfId="79" builtinId="23" customBuiltin="1"/>
    <cellStyle name="Check Cell 2" xfId="80" xr:uid="{FB810C83-0AFA-4CF3-9D58-A8AF585A88E8}"/>
    <cellStyle name="Check Cell 3" xfId="81" xr:uid="{F8B87C7D-36B0-4A24-86D1-466DDBC10FF8}"/>
    <cellStyle name="Explanatory Text" xfId="82" builtinId="53" customBuiltin="1"/>
    <cellStyle name="Explanatory Text 2" xfId="83" xr:uid="{A9EE54FC-D348-4D6D-A9B8-1696C73DF160}"/>
    <cellStyle name="Explanatory Text 3" xfId="84" xr:uid="{D34933DC-5EB4-41C7-93CD-332CEB849480}"/>
    <cellStyle name="Good" xfId="85" builtinId="26" customBuiltin="1"/>
    <cellStyle name="Good 2" xfId="86" xr:uid="{356C88E0-C553-4599-A6E9-481B4B6E2237}"/>
    <cellStyle name="Good 3" xfId="87" xr:uid="{0BFEE395-257D-41C4-9157-C41438B37EDA}"/>
    <cellStyle name="Heading 1" xfId="88" builtinId="16" customBuiltin="1"/>
    <cellStyle name="Heading 1 2" xfId="89" xr:uid="{96E99C3B-0622-4858-AB91-DEBBF55829E5}"/>
    <cellStyle name="Heading 1 3" xfId="90" xr:uid="{5C343B1F-713E-4CDC-B6CA-3A222D5D3C8F}"/>
    <cellStyle name="Heading 2" xfId="91" builtinId="17" customBuiltin="1"/>
    <cellStyle name="Heading 2 2" xfId="92" xr:uid="{E078F173-5557-4E92-95A3-2ECDA218BD94}"/>
    <cellStyle name="Heading 2 3" xfId="93" xr:uid="{73C3D47E-DD40-43F3-B649-3C1C44D52561}"/>
    <cellStyle name="Heading 3" xfId="94" builtinId="18" customBuiltin="1"/>
    <cellStyle name="Heading 3 2" xfId="95" xr:uid="{8A5B1D70-AA67-4482-90D1-7246019B651D}"/>
    <cellStyle name="Heading 3 3" xfId="96" xr:uid="{D036DC69-EC4A-4D12-8528-F887E2430A17}"/>
    <cellStyle name="Heading 4" xfId="97" builtinId="19" customBuiltin="1"/>
    <cellStyle name="Heading 4 2" xfId="98" xr:uid="{982813F1-0044-476A-B9E7-60E632F97137}"/>
    <cellStyle name="Heading 4 3" xfId="99" xr:uid="{2EDA8BAD-1DDF-4080-B44E-23B9CF858674}"/>
    <cellStyle name="Hyperlink" xfId="100" builtinId="8"/>
    <cellStyle name="Hyperlink 2" xfId="143" xr:uid="{A6B1C439-9211-46B7-A467-CDB146ABEE48}"/>
    <cellStyle name="Input" xfId="101" builtinId="20" customBuiltin="1"/>
    <cellStyle name="Input 2" xfId="102" xr:uid="{1FC0B06C-B70F-438E-811F-F1433568D9EA}"/>
    <cellStyle name="Input 3" xfId="103" xr:uid="{6AA37D5B-D148-4B08-A85A-2052D4534397}"/>
    <cellStyle name="Linked Cell" xfId="104" builtinId="24" customBuiltin="1"/>
    <cellStyle name="Linked Cell 2" xfId="105" xr:uid="{3F32EFF5-DFAD-4DC6-A3E6-37B78458972C}"/>
    <cellStyle name="Linked Cell 3" xfId="106" xr:uid="{EFA0F79E-2DB9-4BEE-BCCE-4D656FE964F6}"/>
    <cellStyle name="Neutral" xfId="107" builtinId="28" customBuiltin="1"/>
    <cellStyle name="Neutral 2" xfId="108" xr:uid="{40CA3731-23A8-4F6F-AC01-0D49B8DC2103}"/>
    <cellStyle name="Neutral 3" xfId="109" xr:uid="{AA4EEECD-3E3A-48B0-9F0F-A12D234CDF23}"/>
    <cellStyle name="Normal" xfId="0" builtinId="0"/>
    <cellStyle name="Normal 10" xfId="110" xr:uid="{6EB6F634-57D9-42D6-BAAD-366B819CE5C5}"/>
    <cellStyle name="Normal 11" xfId="142" xr:uid="{F3AD58EE-649F-4459-A07C-E0C6BF2971DC}"/>
    <cellStyle name="Normal 2" xfId="111" xr:uid="{3BC5A38F-B15B-48FF-BD14-3B1514F21934}"/>
    <cellStyle name="Normal 3" xfId="112" xr:uid="{8ECE169A-E746-4D31-8375-69F9FD93DDCB}"/>
    <cellStyle name="Normal 3 2" xfId="113" xr:uid="{EAA19879-BE35-44CC-9F15-08B4C75FB302}"/>
    <cellStyle name="Normal 3 3" xfId="114" xr:uid="{CFDF7AB2-F499-4DC0-9C06-EAD053CA3158}"/>
    <cellStyle name="Normal 4" xfId="115" xr:uid="{9BF812F5-D651-419E-940D-938319473BA8}"/>
    <cellStyle name="Normal 4 2" xfId="116" xr:uid="{940FAF7B-66B4-4F8A-8A06-F9B8AFF79935}"/>
    <cellStyle name="Normal 4_SwissArmy_WLM_v1" xfId="117" xr:uid="{48BBD2DC-DEF1-476C-98ED-755E089EA83D}"/>
    <cellStyle name="Normal 5" xfId="118" xr:uid="{67C13C73-2B15-4D1C-BDC3-E90439CE1AB8}"/>
    <cellStyle name="Normal 6" xfId="119" xr:uid="{9176444D-7514-49B2-A756-19373A7F81ED}"/>
    <cellStyle name="Normal 7" xfId="120" xr:uid="{C743CE3E-318E-487F-B8D4-579D8EB40892}"/>
    <cellStyle name="Normal 8" xfId="121" xr:uid="{5B7A0482-FF7E-466E-9B32-F78EAF78D2EC}"/>
    <cellStyle name="Normal 9" xfId="122" xr:uid="{D89C9ABA-A20B-4702-B4C3-53FAC71BF762}"/>
    <cellStyle name="Normal_PSST_Estimator_v0.1" xfId="123" xr:uid="{34F60F37-A136-4779-A86C-B196CA7B9804}"/>
    <cellStyle name="Note" xfId="124" builtinId="10" customBuiltin="1"/>
    <cellStyle name="Note 2" xfId="125" xr:uid="{40EF5E18-036C-41E4-9286-1F62C9A8C45A}"/>
    <cellStyle name="Note 2 2" xfId="126" xr:uid="{74D6BD04-0FB2-41A0-8F81-4947A598ECA3}"/>
    <cellStyle name="Note 3" xfId="127" xr:uid="{BD6DAFA1-DC65-4A00-82D9-7376D31336C7}"/>
    <cellStyle name="Output" xfId="128" builtinId="21" customBuiltin="1"/>
    <cellStyle name="Output 2" xfId="129" xr:uid="{0F612038-4325-4291-BD5C-28B450837DF1}"/>
    <cellStyle name="Output 3" xfId="130" xr:uid="{3A28850C-5556-4A01-902F-A2EDDC04AF39}"/>
    <cellStyle name="Percent" xfId="131" builtinId="5"/>
    <cellStyle name="Percent 2" xfId="132" xr:uid="{51C37901-CA59-440A-A5C7-1BE2B3840338}"/>
    <cellStyle name="Title" xfId="133" builtinId="15" customBuiltin="1"/>
    <cellStyle name="Title 2" xfId="134" xr:uid="{AF6581DD-61BA-4EBD-93A0-C209A623D13C}"/>
    <cellStyle name="Title 3" xfId="135" xr:uid="{C07E5465-060D-437D-9A09-EC683B7AC9BF}"/>
    <cellStyle name="Total" xfId="136" builtinId="25" customBuiltin="1"/>
    <cellStyle name="Total 2" xfId="137" xr:uid="{0CBAACF2-9000-4CC6-AEBC-8C260B325A40}"/>
    <cellStyle name="Total 3" xfId="138" xr:uid="{225FBB96-7D34-4FDC-8DFF-6C64EA6E0DD6}"/>
    <cellStyle name="Warning Text" xfId="139" builtinId="11" customBuiltin="1"/>
    <cellStyle name="Warning Text 2" xfId="140" xr:uid="{5AC8D6F4-4ED3-41CC-8B75-E727315CC420}"/>
    <cellStyle name="Warning Text 3" xfId="141" xr:uid="{3B67AB00-210E-4387-9D0F-AA200416FFEF}"/>
  </cellStyles>
  <dxfs count="7">
    <dxf>
      <font>
        <b val="0"/>
        <i val="0"/>
        <strike val="0"/>
        <condense val="0"/>
        <extend val="0"/>
        <outline val="0"/>
        <shadow val="0"/>
        <u val="none"/>
        <vertAlign val="baseline"/>
        <sz val="10"/>
        <color auto="1"/>
        <name val="Arial"/>
        <family val="2"/>
        <scheme val="none"/>
      </font>
      <numFmt numFmtId="166" formatCode="0.0%"/>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family val="2"/>
        <scheme val="none"/>
      </font>
      <numFmt numFmtId="166" formatCode="0.0%"/>
      <fill>
        <patternFill patternType="solid">
          <fgColor indexed="64"/>
          <bgColor theme="0"/>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family val="2"/>
        <scheme val="none"/>
      </font>
      <numFmt numFmtId="166" formatCode="0.0%"/>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0"/>
        <name val="Calibri"/>
        <family val="2"/>
        <scheme val="none"/>
      </font>
      <fill>
        <patternFill patternType="solid">
          <fgColor rgb="FF000000"/>
          <bgColor rgb="FF00B0F0"/>
        </patternFill>
      </fill>
      <alignment horizontal="center" vertical="bottom" textRotation="0" wrapText="0" indent="0" justifyLastLine="0" shrinkToFit="0" readingOrder="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1104900</xdr:colOff>
      <xdr:row>1</xdr:row>
      <xdr:rowOff>75080</xdr:rowOff>
    </xdr:from>
    <xdr:to>
      <xdr:col>2</xdr:col>
      <xdr:colOff>971550</xdr:colOff>
      <xdr:row>4</xdr:row>
      <xdr:rowOff>106275</xdr:rowOff>
    </xdr:to>
    <xdr:pic>
      <xdr:nvPicPr>
        <xdr:cNvPr id="3" name="Picture 2">
          <a:extLst>
            <a:ext uri="{FF2B5EF4-FFF2-40B4-BE49-F238E27FC236}">
              <a16:creationId xmlns:a16="http://schemas.microsoft.com/office/drawing/2014/main" id="{F0CD01D6-1E41-42E9-867E-78498C9CBA32}"/>
            </a:ext>
          </a:extLst>
        </xdr:cNvPr>
        <xdr:cNvPicPr>
          <a:picLocks noChangeAspect="1"/>
        </xdr:cNvPicPr>
      </xdr:nvPicPr>
      <xdr:blipFill>
        <a:blip xmlns:r="http://schemas.openxmlformats.org/officeDocument/2006/relationships" r:embed="rId1"/>
        <a:stretch>
          <a:fillRect/>
        </a:stretch>
      </xdr:blipFill>
      <xdr:spPr>
        <a:xfrm>
          <a:off x="2254250" y="233830"/>
          <a:ext cx="2419350" cy="5296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1074272</xdr:colOff>
      <xdr:row>1</xdr:row>
      <xdr:rowOff>6351</xdr:rowOff>
    </xdr:from>
    <xdr:to>
      <xdr:col>1</xdr:col>
      <xdr:colOff>322521</xdr:colOff>
      <xdr:row>4</xdr:row>
      <xdr:rowOff>12700</xdr:rowOff>
    </xdr:to>
    <xdr:pic>
      <xdr:nvPicPr>
        <xdr:cNvPr id="2" name="Picture 1">
          <a:extLst>
            <a:ext uri="{FF2B5EF4-FFF2-40B4-BE49-F238E27FC236}">
              <a16:creationId xmlns:a16="http://schemas.microsoft.com/office/drawing/2014/main" id="{3019CFE4-A400-54A5-334A-4AF91CAF7D66}"/>
            </a:ext>
          </a:extLst>
        </xdr:cNvPr>
        <xdr:cNvPicPr>
          <a:picLocks noChangeAspect="1"/>
        </xdr:cNvPicPr>
      </xdr:nvPicPr>
      <xdr:blipFill>
        <a:blip xmlns:r="http://schemas.openxmlformats.org/officeDocument/2006/relationships" r:embed="rId1"/>
        <a:stretch>
          <a:fillRect/>
        </a:stretch>
      </xdr:blipFill>
      <xdr:spPr>
        <a:xfrm>
          <a:off x="1074272" y="165101"/>
          <a:ext cx="2258149" cy="4825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2069352</xdr:colOff>
      <xdr:row>0</xdr:row>
      <xdr:rowOff>52295</xdr:rowOff>
    </xdr:from>
    <xdr:to>
      <xdr:col>2</xdr:col>
      <xdr:colOff>3907117</xdr:colOff>
      <xdr:row>2</xdr:row>
      <xdr:rowOff>131287</xdr:rowOff>
    </xdr:to>
    <xdr:pic>
      <xdr:nvPicPr>
        <xdr:cNvPr id="2" name="Picture 1">
          <a:extLst>
            <a:ext uri="{FF2B5EF4-FFF2-40B4-BE49-F238E27FC236}">
              <a16:creationId xmlns:a16="http://schemas.microsoft.com/office/drawing/2014/main" id="{DB2B3E54-3B75-4BE3-BC4C-0356E8C3D9BE}"/>
            </a:ext>
          </a:extLst>
        </xdr:cNvPr>
        <xdr:cNvPicPr>
          <a:picLocks noChangeAspect="1"/>
        </xdr:cNvPicPr>
      </xdr:nvPicPr>
      <xdr:blipFill>
        <a:blip xmlns:r="http://schemas.openxmlformats.org/officeDocument/2006/relationships" r:embed="rId1"/>
        <a:stretch>
          <a:fillRect/>
        </a:stretch>
      </xdr:blipFill>
      <xdr:spPr>
        <a:xfrm>
          <a:off x="3107764" y="52295"/>
          <a:ext cx="1837765" cy="3927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E588-PR-Test_Results_Analysis-template_v1.0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ocument Control"/>
      <sheetName val="Template Document Control"/>
      <sheetName val="Template Instructions"/>
      <sheetName val="Control and Data"/>
      <sheetName val="Contact List"/>
      <sheetName val="Results Analysis"/>
      <sheetName val="Notes"/>
    </sheetNames>
    <sheetDataSet>
      <sheetData sheetId="0" refreshError="1"/>
      <sheetData sheetId="1"/>
      <sheetData sheetId="2" refreshError="1"/>
      <sheetData sheetId="3" refreshError="1"/>
      <sheetData sheetId="4"/>
      <sheetData sheetId="5" refreshError="1"/>
      <sheetData sheetId="6" refreshError="1"/>
      <sheetData sheetId="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8725A2-750E-4DFF-91BC-A0BD58B5DDBC}" name="Table1" displayName="Table1" ref="B2:G18" totalsRowShown="0" headerRowDxfId="6">
  <autoFilter ref="B2:G18" xr:uid="{D08725A2-750E-4DFF-91BC-A0BD58B5DDBC}"/>
  <tableColumns count="6">
    <tableColumn id="1" xr3:uid="{CF12A24D-AAC6-4BD7-848B-B745BB923897}" name="#" dataDxfId="5"/>
    <tableColumn id="2" xr3:uid="{7CD1A915-00E5-462F-8D02-54788527A505}" name="Page Level Distribution " dataDxfId="4"/>
    <tableColumn id="3" xr3:uid="{0A398875-4D04-4CA7-A02C-3DC785AF4E1D}" name="Column1" dataDxfId="3"/>
    <tableColumn id="4" xr3:uid="{7A1695E7-8E5A-40F9-9B2D-BB344BE14C72}" name="Column2" dataDxfId="2" dataCellStyle="Percent"/>
    <tableColumn id="5" xr3:uid="{3BD24B33-738B-475A-8222-90C05F54C545}" name="Column3" dataDxfId="1" dataCellStyle="Percent"/>
    <tableColumn id="6" xr3:uid="{2CF084B2-5518-4B88-BF5A-EF1F2422D84C}" name="Column4" dataDxfId="0" dataCellStyle="Percent"/>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vihaan-ai.atlassian.net/wiki/spaces/DT/pages/323094249/Performance+Test+Strategy+-+AISmar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CC089-043B-48FB-93C5-18A6992C656C}">
  <sheetPr codeName="Sheet1">
    <tabColor indexed="14"/>
  </sheetPr>
  <dimension ref="A1:BE36"/>
  <sheetViews>
    <sheetView zoomScale="70" zoomScaleNormal="70" workbookViewId="0">
      <selection activeCell="F52" sqref="F52"/>
    </sheetView>
  </sheetViews>
  <sheetFormatPr defaultColWidth="8.81640625" defaultRowHeight="12.5" x14ac:dyDescent="0.25"/>
  <cols>
    <col min="1" max="1" width="16.453125" style="1" bestFit="1" customWidth="1"/>
    <col min="2" max="2" width="36.453125" style="1" customWidth="1"/>
    <col min="3" max="3" width="43.81640625" style="1" customWidth="1"/>
    <col min="4" max="4" width="16.453125" style="1" customWidth="1"/>
    <col min="5" max="57" width="9.1796875" style="1" customWidth="1"/>
  </cols>
  <sheetData>
    <row r="1" spans="1:4" ht="12.65" customHeight="1" x14ac:dyDescent="0.25">
      <c r="A1" s="165"/>
      <c r="B1" s="165"/>
      <c r="C1" s="165"/>
      <c r="D1" s="165"/>
    </row>
    <row r="2" spans="1:4" ht="13" customHeight="1" x14ac:dyDescent="0.25">
      <c r="A2" s="165"/>
      <c r="B2" s="165"/>
      <c r="C2" s="165"/>
      <c r="D2" s="165"/>
    </row>
    <row r="3" spans="1:4" ht="13" customHeight="1" x14ac:dyDescent="0.25">
      <c r="A3" s="165"/>
      <c r="B3" s="165"/>
      <c r="C3" s="165"/>
      <c r="D3" s="165"/>
    </row>
    <row r="4" spans="1:4" ht="13" customHeight="1" x14ac:dyDescent="0.25">
      <c r="A4" s="165"/>
      <c r="B4" s="165"/>
      <c r="C4" s="165"/>
      <c r="D4" s="165"/>
    </row>
    <row r="5" spans="1:4" ht="13" customHeight="1" x14ac:dyDescent="0.25">
      <c r="A5" s="165"/>
      <c r="B5" s="165"/>
      <c r="C5" s="165"/>
      <c r="D5" s="165"/>
    </row>
    <row r="6" spans="1:4" ht="13" customHeight="1" x14ac:dyDescent="0.25">
      <c r="A6" s="165"/>
      <c r="B6" s="165"/>
      <c r="C6" s="165"/>
      <c r="D6" s="165"/>
    </row>
    <row r="7" spans="1:4" ht="13" customHeight="1" x14ac:dyDescent="0.25">
      <c r="A7" s="165"/>
      <c r="B7" s="165"/>
      <c r="C7" s="165"/>
      <c r="D7" s="165"/>
    </row>
    <row r="8" spans="1:4" ht="21" customHeight="1" x14ac:dyDescent="0.5">
      <c r="A8" s="166" t="s">
        <v>0</v>
      </c>
      <c r="B8" s="166"/>
      <c r="C8" s="166"/>
      <c r="D8" s="166"/>
    </row>
    <row r="9" spans="1:4" ht="13" x14ac:dyDescent="0.3">
      <c r="A9" s="43"/>
      <c r="B9" s="44"/>
      <c r="C9" s="44"/>
      <c r="D9" s="45"/>
    </row>
    <row r="10" spans="1:4" ht="13" x14ac:dyDescent="0.3">
      <c r="A10" s="43"/>
      <c r="B10" s="44"/>
      <c r="C10" s="44"/>
      <c r="D10" s="45"/>
    </row>
    <row r="11" spans="1:4" ht="15.65" customHeight="1" x14ac:dyDescent="0.25">
      <c r="A11" s="167" t="s">
        <v>1</v>
      </c>
      <c r="B11" s="167"/>
      <c r="C11" s="167"/>
      <c r="D11" s="167"/>
    </row>
    <row r="12" spans="1:4" ht="15.75" customHeight="1" x14ac:dyDescent="0.25">
      <c r="A12" s="167"/>
      <c r="B12" s="167"/>
      <c r="C12" s="167"/>
      <c r="D12" s="167"/>
    </row>
    <row r="13" spans="1:4" ht="24" customHeight="1" x14ac:dyDescent="0.25">
      <c r="A13" s="58" t="s">
        <v>2</v>
      </c>
      <c r="B13" s="58" t="s">
        <v>3</v>
      </c>
      <c r="C13" s="58" t="s">
        <v>4</v>
      </c>
      <c r="D13" s="58" t="s">
        <v>5</v>
      </c>
    </row>
    <row r="14" spans="1:4" ht="15.75" customHeight="1" x14ac:dyDescent="0.25">
      <c r="A14" s="46" t="s">
        <v>6</v>
      </c>
      <c r="B14" s="53">
        <v>45786</v>
      </c>
      <c r="C14" s="47" t="s">
        <v>7</v>
      </c>
      <c r="D14" s="47" t="s">
        <v>8</v>
      </c>
    </row>
    <row r="15" spans="1:4" x14ac:dyDescent="0.25">
      <c r="A15" s="46"/>
      <c r="B15" s="64"/>
      <c r="C15" s="47"/>
      <c r="D15" s="47"/>
    </row>
    <row r="16" spans="1:4" x14ac:dyDescent="0.25">
      <c r="A16" s="46"/>
      <c r="B16" s="64"/>
      <c r="C16" s="47"/>
      <c r="D16" s="47"/>
    </row>
    <row r="17" spans="1:4" x14ac:dyDescent="0.25">
      <c r="A17" s="66"/>
      <c r="B17" s="64"/>
      <c r="C17" s="67"/>
      <c r="D17" s="47"/>
    </row>
    <row r="18" spans="1:4" x14ac:dyDescent="0.25">
      <c r="A18" s="46"/>
      <c r="B18" s="64"/>
      <c r="C18" s="47"/>
      <c r="D18" s="47"/>
    </row>
    <row r="19" spans="1:4" ht="32.25" customHeight="1" x14ac:dyDescent="0.3">
      <c r="A19" s="48"/>
      <c r="B19" s="49"/>
      <c r="C19" s="49"/>
      <c r="D19" s="50"/>
    </row>
    <row r="20" spans="1:4" ht="15.5" x14ac:dyDescent="0.35">
      <c r="A20" s="168" t="s">
        <v>9</v>
      </c>
      <c r="B20" s="169"/>
      <c r="C20" s="44"/>
      <c r="D20" s="45"/>
    </row>
    <row r="21" spans="1:4" ht="13" x14ac:dyDescent="0.3">
      <c r="A21" s="43"/>
      <c r="B21" s="44"/>
      <c r="C21" s="44"/>
      <c r="D21" s="45"/>
    </row>
    <row r="22" spans="1:4" ht="13" x14ac:dyDescent="0.25">
      <c r="A22" s="57" t="s">
        <v>10</v>
      </c>
      <c r="B22" s="57" t="s">
        <v>11</v>
      </c>
      <c r="C22" s="57" t="s">
        <v>3</v>
      </c>
      <c r="D22" s="57" t="s">
        <v>2</v>
      </c>
    </row>
    <row r="23" spans="1:4" ht="13" x14ac:dyDescent="0.25">
      <c r="A23" s="54"/>
      <c r="B23" s="52"/>
      <c r="C23" s="53"/>
      <c r="D23" s="55"/>
    </row>
    <row r="24" spans="1:4" ht="13" x14ac:dyDescent="0.25">
      <c r="A24" s="54"/>
      <c r="B24" s="52"/>
      <c r="C24" s="53"/>
      <c r="D24" s="55"/>
    </row>
    <row r="25" spans="1:4" ht="13" x14ac:dyDescent="0.25">
      <c r="A25" s="54"/>
      <c r="B25" s="52"/>
      <c r="C25" s="53"/>
      <c r="D25" s="55"/>
    </row>
    <row r="26" spans="1:4" ht="13" x14ac:dyDescent="0.25">
      <c r="A26" s="54"/>
      <c r="B26" s="52"/>
      <c r="C26" s="53"/>
      <c r="D26" s="55"/>
    </row>
    <row r="27" spans="1:4" ht="13" x14ac:dyDescent="0.25">
      <c r="A27" s="54"/>
      <c r="B27" s="52"/>
      <c r="C27" s="53"/>
      <c r="D27" s="55"/>
    </row>
    <row r="28" spans="1:4" ht="15.75" customHeight="1" x14ac:dyDescent="0.25">
      <c r="A28" s="54"/>
      <c r="B28" s="52"/>
      <c r="C28" s="53"/>
      <c r="D28" s="55"/>
    </row>
    <row r="29" spans="1:4" ht="13" x14ac:dyDescent="0.3">
      <c r="A29" s="43"/>
      <c r="B29" s="44"/>
      <c r="C29" s="44"/>
      <c r="D29" s="45"/>
    </row>
    <row r="30" spans="1:4" ht="13" x14ac:dyDescent="0.3">
      <c r="A30" s="43"/>
      <c r="B30" s="44"/>
      <c r="C30" s="44"/>
      <c r="D30" s="45"/>
    </row>
    <row r="31" spans="1:4" ht="15.5" x14ac:dyDescent="0.35">
      <c r="A31" s="168" t="s">
        <v>12</v>
      </c>
      <c r="B31" s="169"/>
      <c r="C31" s="44"/>
      <c r="D31" s="51"/>
    </row>
    <row r="32" spans="1:4" ht="14.25" customHeight="1" x14ac:dyDescent="0.3">
      <c r="A32" s="43"/>
      <c r="B32" s="44"/>
      <c r="C32" s="44"/>
      <c r="D32" s="45"/>
    </row>
    <row r="33" spans="1:57" ht="20.25" customHeight="1" x14ac:dyDescent="0.25">
      <c r="A33" s="56" t="s">
        <v>13</v>
      </c>
      <c r="B33" s="171" t="s">
        <v>14</v>
      </c>
      <c r="C33" s="171"/>
      <c r="D33" s="56" t="s">
        <v>2</v>
      </c>
    </row>
    <row r="34" spans="1:57" s="15" customFormat="1" ht="12.75" customHeight="1" x14ac:dyDescent="0.25">
      <c r="A34" s="52">
        <v>1</v>
      </c>
      <c r="B34" s="172" t="s">
        <v>15</v>
      </c>
      <c r="C34" s="173"/>
      <c r="D34" s="55">
        <v>0.1</v>
      </c>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row>
    <row r="35" spans="1:57" s="15" customFormat="1" ht="15.75" customHeight="1" x14ac:dyDescent="0.25">
      <c r="A35" s="52"/>
      <c r="B35" s="59"/>
      <c r="C35" s="59"/>
      <c r="D35" s="55"/>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row>
    <row r="36" spans="1:57" ht="15.75" customHeight="1" x14ac:dyDescent="0.25">
      <c r="A36" s="47"/>
      <c r="B36" s="170"/>
      <c r="C36" s="170"/>
      <c r="D36" s="46"/>
    </row>
  </sheetData>
  <mergeCells count="8">
    <mergeCell ref="A1:D7"/>
    <mergeCell ref="A8:D8"/>
    <mergeCell ref="A11:D12"/>
    <mergeCell ref="A20:B20"/>
    <mergeCell ref="B36:C36"/>
    <mergeCell ref="A31:B31"/>
    <mergeCell ref="B33:C33"/>
    <mergeCell ref="B34:C34"/>
  </mergeCells>
  <phoneticPr fontId="3" type="noConversion"/>
  <hyperlinks>
    <hyperlink ref="B34" r:id="rId1" xr:uid="{25F09ED5-7877-45AC-B1FF-F6789FFFF82C}"/>
  </hyperlinks>
  <pageMargins left="0.75" right="0.75" top="1" bottom="1" header="0.5" footer="0.5"/>
  <pageSetup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FB9F-3F45-4EC6-AF03-B4E6438AEE75}">
  <sheetPr codeName="Sheet2">
    <tabColor indexed="24"/>
  </sheetPr>
  <dimension ref="A1:B21"/>
  <sheetViews>
    <sheetView showGridLines="0" zoomScale="60" zoomScaleNormal="60" workbookViewId="0">
      <selection activeCell="I25" sqref="I25"/>
    </sheetView>
  </sheetViews>
  <sheetFormatPr defaultColWidth="9.1796875" defaultRowHeight="12.5" x14ac:dyDescent="0.25"/>
  <cols>
    <col min="1" max="1" width="43.1796875" style="7" customWidth="1"/>
    <col min="2" max="2" width="23.81640625" style="7" customWidth="1"/>
    <col min="3" max="16384" width="9.1796875" style="2"/>
  </cols>
  <sheetData>
    <row r="1" spans="1:2" x14ac:dyDescent="0.25">
      <c r="A1" s="176"/>
      <c r="B1" s="176"/>
    </row>
    <row r="2" spans="1:2" x14ac:dyDescent="0.25">
      <c r="A2" s="176"/>
      <c r="B2" s="176"/>
    </row>
    <row r="3" spans="1:2" x14ac:dyDescent="0.25">
      <c r="A3" s="176"/>
      <c r="B3" s="176"/>
    </row>
    <row r="4" spans="1:2" x14ac:dyDescent="0.25">
      <c r="A4" s="176"/>
      <c r="B4" s="176"/>
    </row>
    <row r="5" spans="1:2" x14ac:dyDescent="0.25">
      <c r="A5" s="176"/>
      <c r="B5" s="176"/>
    </row>
    <row r="6" spans="1:2" x14ac:dyDescent="0.25">
      <c r="A6" s="176"/>
      <c r="B6" s="176"/>
    </row>
    <row r="7" spans="1:2" ht="21" x14ac:dyDescent="0.25">
      <c r="A7" s="182" t="s">
        <v>16</v>
      </c>
      <c r="B7" s="182"/>
    </row>
    <row r="8" spans="1:2" ht="13" x14ac:dyDescent="0.25">
      <c r="A8" s="33"/>
      <c r="B8" s="35"/>
    </row>
    <row r="9" spans="1:2" ht="13" x14ac:dyDescent="0.25">
      <c r="A9" s="34" t="s">
        <v>17</v>
      </c>
      <c r="B9" s="36"/>
    </row>
    <row r="10" spans="1:2" ht="13" x14ac:dyDescent="0.25">
      <c r="A10" s="34"/>
      <c r="B10" s="35"/>
    </row>
    <row r="11" spans="1:2" ht="13" x14ac:dyDescent="0.25">
      <c r="A11" s="37" t="s">
        <v>18</v>
      </c>
      <c r="B11" s="38" t="s">
        <v>19</v>
      </c>
    </row>
    <row r="12" spans="1:2" ht="16.5" customHeight="1" x14ac:dyDescent="0.25">
      <c r="A12" s="39" t="s">
        <v>20</v>
      </c>
      <c r="B12" s="40" t="s">
        <v>21</v>
      </c>
    </row>
    <row r="13" spans="1:2" ht="13" x14ac:dyDescent="0.25">
      <c r="A13" s="41" t="s">
        <v>22</v>
      </c>
      <c r="B13" s="42" t="s">
        <v>23</v>
      </c>
    </row>
    <row r="14" spans="1:2" ht="13" x14ac:dyDescent="0.25">
      <c r="A14" s="177"/>
      <c r="B14" s="178"/>
    </row>
    <row r="15" spans="1:2" ht="13" x14ac:dyDescent="0.25">
      <c r="A15" s="179"/>
      <c r="B15" s="180"/>
    </row>
    <row r="16" spans="1:2" ht="15.5" x14ac:dyDescent="0.25">
      <c r="A16" s="181" t="s">
        <v>24</v>
      </c>
      <c r="B16" s="181"/>
    </row>
    <row r="17" spans="1:2" ht="13" x14ac:dyDescent="0.25">
      <c r="A17" s="174" t="s">
        <v>25</v>
      </c>
      <c r="B17" s="175"/>
    </row>
    <row r="18" spans="1:2" ht="13" x14ac:dyDescent="0.25">
      <c r="A18" s="174" t="s">
        <v>26</v>
      </c>
      <c r="B18" s="175"/>
    </row>
    <row r="19" spans="1:2" ht="13" x14ac:dyDescent="0.25">
      <c r="A19" s="79" t="s">
        <v>27</v>
      </c>
      <c r="B19" s="80"/>
    </row>
    <row r="20" spans="1:2" ht="13" x14ac:dyDescent="0.25">
      <c r="A20" s="174" t="s">
        <v>28</v>
      </c>
      <c r="B20" s="175"/>
    </row>
    <row r="21" spans="1:2" ht="13" x14ac:dyDescent="0.25">
      <c r="A21" s="174" t="s">
        <v>29</v>
      </c>
      <c r="B21" s="175"/>
    </row>
  </sheetData>
  <mergeCells count="9">
    <mergeCell ref="A21:B21"/>
    <mergeCell ref="A1:B6"/>
    <mergeCell ref="A17:B17"/>
    <mergeCell ref="A20:B20"/>
    <mergeCell ref="A18:B18"/>
    <mergeCell ref="A14:B14"/>
    <mergeCell ref="A15:B15"/>
    <mergeCell ref="A16:B16"/>
    <mergeCell ref="A7:B7"/>
  </mergeCells>
  <phoneticPr fontId="3" type="noConversion"/>
  <dataValidations count="1">
    <dataValidation type="list" allowBlank="1" showInputMessage="1" showErrorMessage="1" sqref="B13" xr:uid="{4EDDF636-074B-4036-BA29-87DC8AD26225}">
      <formula1>"Delivery,Non-Delivery"</formula1>
    </dataValidation>
  </dataValidations>
  <pageMargins left="0.75" right="0.75" top="1" bottom="1"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47AA-8590-4166-A792-731C6F61B149}">
  <sheetPr codeName="Sheet3">
    <tabColor indexed="46"/>
  </sheetPr>
  <dimension ref="A1:BZ814"/>
  <sheetViews>
    <sheetView tabSelected="1" zoomScale="115" zoomScaleNormal="115" workbookViewId="0">
      <selection activeCell="B1" sqref="B1:C3"/>
    </sheetView>
  </sheetViews>
  <sheetFormatPr defaultColWidth="9.1796875" defaultRowHeight="12.5" x14ac:dyDescent="0.25"/>
  <cols>
    <col min="1" max="1" width="4.81640625" style="8" customWidth="1"/>
    <col min="2" max="2" width="9.81640625" style="8" bestFit="1" customWidth="1"/>
    <col min="3" max="3" width="90.81640625" style="8" customWidth="1"/>
    <col min="4" max="4" width="26" style="8" customWidth="1"/>
    <col min="5" max="7" width="9.1796875" style="16"/>
    <col min="8" max="8" width="11.453125" style="16" bestFit="1" customWidth="1"/>
    <col min="9" max="9" width="9.1796875" style="16"/>
    <col min="10" max="10" width="11.453125" style="16" bestFit="1" customWidth="1"/>
    <col min="11" max="78" width="9.1796875" style="16"/>
    <col min="79" max="16384" width="9.1796875" style="8"/>
  </cols>
  <sheetData>
    <row r="1" spans="1:7" x14ac:dyDescent="0.25">
      <c r="A1" s="3"/>
      <c r="B1" s="190"/>
      <c r="C1" s="190"/>
      <c r="D1" s="4"/>
    </row>
    <row r="2" spans="1:7" x14ac:dyDescent="0.25">
      <c r="A2" s="3"/>
      <c r="B2" s="190"/>
      <c r="C2" s="190"/>
      <c r="D2" s="4"/>
    </row>
    <row r="3" spans="1:7" x14ac:dyDescent="0.25">
      <c r="A3" s="3"/>
      <c r="B3" s="190"/>
      <c r="C3" s="190"/>
      <c r="D3" s="4"/>
    </row>
    <row r="4" spans="1:7" x14ac:dyDescent="0.25">
      <c r="A4" s="5"/>
      <c r="B4" s="9"/>
      <c r="C4" s="9"/>
      <c r="D4" s="6"/>
    </row>
    <row r="5" spans="1:7" x14ac:dyDescent="0.25">
      <c r="A5" s="10"/>
      <c r="B5" s="10"/>
      <c r="C5" s="10"/>
      <c r="D5" s="11"/>
    </row>
    <row r="6" spans="1:7" ht="23.25" customHeight="1" x14ac:dyDescent="0.25">
      <c r="A6" s="187" t="s">
        <v>30</v>
      </c>
      <c r="B6" s="188"/>
      <c r="C6" s="189"/>
      <c r="D6" s="12"/>
      <c r="G6" s="159"/>
    </row>
    <row r="7" spans="1:7" ht="20.25" customHeight="1" x14ac:dyDescent="0.25">
      <c r="A7" s="183" t="s">
        <v>31</v>
      </c>
      <c r="B7" s="183"/>
      <c r="C7" s="183"/>
      <c r="D7" s="13"/>
    </row>
    <row r="8" spans="1:7" ht="15.5" x14ac:dyDescent="0.25">
      <c r="A8" s="184"/>
      <c r="B8" s="185"/>
      <c r="C8" s="185"/>
      <c r="D8" s="186"/>
    </row>
    <row r="9" spans="1:7" ht="20.25" customHeight="1" x14ac:dyDescent="0.25">
      <c r="A9" s="60" t="s">
        <v>13</v>
      </c>
      <c r="B9" s="60" t="s">
        <v>3</v>
      </c>
      <c r="C9" s="61" t="s">
        <v>32</v>
      </c>
      <c r="D9" s="61" t="s">
        <v>33</v>
      </c>
    </row>
    <row r="10" spans="1:7" ht="13" x14ac:dyDescent="0.25">
      <c r="A10" s="25">
        <v>1</v>
      </c>
      <c r="B10" s="30">
        <v>45786</v>
      </c>
      <c r="C10" s="31" t="s">
        <v>34</v>
      </c>
      <c r="D10" s="31" t="s">
        <v>35</v>
      </c>
    </row>
    <row r="11" spans="1:7" ht="13" x14ac:dyDescent="0.25">
      <c r="A11" s="25">
        <v>2</v>
      </c>
      <c r="B11" s="30">
        <v>45792</v>
      </c>
      <c r="C11" s="31" t="s">
        <v>36</v>
      </c>
      <c r="D11" s="31" t="s">
        <v>37</v>
      </c>
    </row>
    <row r="12" spans="1:7" ht="13" x14ac:dyDescent="0.25">
      <c r="A12" s="25">
        <v>3</v>
      </c>
      <c r="B12" s="30">
        <v>45792</v>
      </c>
      <c r="C12" s="32" t="s">
        <v>38</v>
      </c>
      <c r="D12" s="31" t="s">
        <v>37</v>
      </c>
    </row>
    <row r="13" spans="1:7" s="16" customFormat="1" ht="13" x14ac:dyDescent="0.25">
      <c r="A13" s="25">
        <v>5</v>
      </c>
      <c r="B13" s="30">
        <v>45792</v>
      </c>
      <c r="C13" s="32" t="s">
        <v>39</v>
      </c>
      <c r="D13" s="32" t="s">
        <v>35</v>
      </c>
    </row>
    <row r="14" spans="1:7" s="16" customFormat="1" ht="13" x14ac:dyDescent="0.25">
      <c r="A14" s="25">
        <v>6</v>
      </c>
      <c r="B14" s="30">
        <v>45795</v>
      </c>
      <c r="C14" s="32" t="s">
        <v>40</v>
      </c>
      <c r="D14" s="91" t="s">
        <v>37</v>
      </c>
    </row>
    <row r="15" spans="1:7" s="16" customFormat="1" ht="13" x14ac:dyDescent="0.25">
      <c r="A15" s="25">
        <v>7</v>
      </c>
      <c r="B15" s="30">
        <v>45795</v>
      </c>
      <c r="C15" s="32" t="s">
        <v>41</v>
      </c>
      <c r="D15" s="91" t="s">
        <v>37</v>
      </c>
    </row>
    <row r="16" spans="1:7" s="16" customFormat="1" ht="13" x14ac:dyDescent="0.25">
      <c r="A16" s="25">
        <v>8</v>
      </c>
      <c r="B16" s="89">
        <v>45796</v>
      </c>
      <c r="C16" s="90" t="s">
        <v>42</v>
      </c>
      <c r="D16" s="91" t="s">
        <v>37</v>
      </c>
    </row>
    <row r="17" spans="1:4" s="16" customFormat="1" ht="13" x14ac:dyDescent="0.25">
      <c r="A17" s="93"/>
      <c r="B17" s="87"/>
      <c r="C17" s="92"/>
      <c r="D17" s="88"/>
    </row>
    <row r="18" spans="1:4" s="16" customFormat="1" ht="13" x14ac:dyDescent="0.25">
      <c r="A18" s="93"/>
      <c r="B18" s="87"/>
      <c r="C18" s="92"/>
      <c r="D18" s="88"/>
    </row>
    <row r="19" spans="1:4" s="16" customFormat="1" ht="13" x14ac:dyDescent="0.25">
      <c r="A19" s="93"/>
      <c r="B19" s="87"/>
      <c r="C19" s="92"/>
      <c r="D19" s="88"/>
    </row>
    <row r="20" spans="1:4" s="16" customFormat="1" x14ac:dyDescent="0.25"/>
    <row r="21" spans="1:4" s="16" customFormat="1" x14ac:dyDescent="0.25"/>
    <row r="22" spans="1:4" s="16" customFormat="1" x14ac:dyDescent="0.25"/>
    <row r="23" spans="1:4" s="16" customFormat="1" x14ac:dyDescent="0.25"/>
    <row r="24" spans="1:4" s="16" customFormat="1" x14ac:dyDescent="0.25"/>
    <row r="25" spans="1:4" s="16" customFormat="1" x14ac:dyDescent="0.25"/>
    <row r="26" spans="1:4" s="16" customFormat="1" x14ac:dyDescent="0.25"/>
    <row r="27" spans="1:4" s="16" customFormat="1" x14ac:dyDescent="0.25"/>
    <row r="28" spans="1:4" s="16" customFormat="1" x14ac:dyDescent="0.25"/>
    <row r="29" spans="1:4" s="16" customFormat="1" x14ac:dyDescent="0.25"/>
    <row r="30" spans="1:4" s="16" customFormat="1" x14ac:dyDescent="0.25"/>
    <row r="31" spans="1:4" s="16" customFormat="1" x14ac:dyDescent="0.25"/>
    <row r="32" spans="1:4" s="16" customFormat="1" x14ac:dyDescent="0.25"/>
    <row r="33" s="16" customFormat="1" x14ac:dyDescent="0.25"/>
    <row r="34" s="16" customFormat="1" x14ac:dyDescent="0.25"/>
    <row r="35" s="16" customFormat="1" x14ac:dyDescent="0.25"/>
    <row r="36" s="16" customFormat="1" x14ac:dyDescent="0.25"/>
    <row r="37" s="16" customFormat="1" x14ac:dyDescent="0.25"/>
    <row r="38" s="16" customFormat="1" x14ac:dyDescent="0.25"/>
    <row r="39" s="16" customFormat="1" x14ac:dyDescent="0.25"/>
    <row r="40" s="16" customFormat="1" x14ac:dyDescent="0.25"/>
    <row r="41" s="16" customFormat="1" x14ac:dyDescent="0.25"/>
    <row r="42" s="16" customFormat="1" x14ac:dyDescent="0.25"/>
    <row r="43" s="16" customFormat="1" x14ac:dyDescent="0.25"/>
    <row r="44" s="16" customFormat="1" x14ac:dyDescent="0.25"/>
    <row r="45" s="16" customFormat="1" x14ac:dyDescent="0.25"/>
    <row r="46" s="16" customFormat="1" x14ac:dyDescent="0.25"/>
    <row r="47" s="16" customFormat="1" x14ac:dyDescent="0.25"/>
    <row r="48" s="16" customFormat="1" x14ac:dyDescent="0.25"/>
    <row r="49" s="16" customFormat="1" x14ac:dyDescent="0.25"/>
    <row r="50" s="16" customFormat="1" x14ac:dyDescent="0.25"/>
    <row r="51" s="16" customFormat="1" x14ac:dyDescent="0.25"/>
    <row r="52" s="16" customFormat="1" x14ac:dyDescent="0.25"/>
    <row r="53" s="16" customFormat="1" x14ac:dyDescent="0.25"/>
    <row r="54" s="16" customFormat="1" x14ac:dyDescent="0.25"/>
    <row r="55" s="16" customFormat="1" x14ac:dyDescent="0.25"/>
    <row r="56" s="16" customFormat="1" x14ac:dyDescent="0.25"/>
    <row r="57" s="16" customFormat="1" x14ac:dyDescent="0.25"/>
    <row r="58" s="16" customFormat="1" x14ac:dyDescent="0.25"/>
    <row r="59" s="16" customFormat="1" x14ac:dyDescent="0.25"/>
    <row r="60" s="16" customFormat="1" x14ac:dyDescent="0.25"/>
    <row r="61" s="16" customFormat="1" x14ac:dyDescent="0.25"/>
    <row r="62" s="16" customFormat="1" x14ac:dyDescent="0.25"/>
    <row r="63" s="16" customFormat="1" x14ac:dyDescent="0.25"/>
    <row r="64" s="16" customFormat="1" x14ac:dyDescent="0.25"/>
    <row r="65" s="16" customFormat="1" x14ac:dyDescent="0.25"/>
    <row r="66" s="16" customFormat="1" x14ac:dyDescent="0.25"/>
    <row r="67" s="16" customFormat="1" x14ac:dyDescent="0.25"/>
    <row r="68" s="16" customFormat="1" x14ac:dyDescent="0.25"/>
    <row r="69" s="16" customFormat="1" x14ac:dyDescent="0.25"/>
    <row r="70" s="16" customFormat="1" x14ac:dyDescent="0.25"/>
    <row r="71" s="16" customFormat="1" x14ac:dyDescent="0.25"/>
    <row r="72" s="16" customFormat="1" x14ac:dyDescent="0.25"/>
    <row r="73" s="16" customFormat="1" x14ac:dyDescent="0.25"/>
    <row r="74" s="16" customFormat="1" x14ac:dyDescent="0.25"/>
    <row r="75" s="16" customFormat="1" x14ac:dyDescent="0.25"/>
    <row r="76" s="16" customFormat="1" x14ac:dyDescent="0.25"/>
    <row r="77" s="16" customFormat="1" x14ac:dyDescent="0.25"/>
    <row r="78" s="16" customFormat="1" x14ac:dyDescent="0.25"/>
    <row r="79" s="16" customFormat="1" x14ac:dyDescent="0.25"/>
    <row r="80" s="16" customFormat="1" x14ac:dyDescent="0.25"/>
    <row r="81" s="16" customFormat="1" x14ac:dyDescent="0.25"/>
    <row r="82" s="16" customFormat="1" x14ac:dyDescent="0.25"/>
    <row r="83" s="16" customFormat="1" x14ac:dyDescent="0.25"/>
    <row r="84" s="16" customFormat="1" x14ac:dyDescent="0.25"/>
    <row r="85" s="16" customFormat="1" x14ac:dyDescent="0.25"/>
    <row r="86" s="16" customFormat="1" x14ac:dyDescent="0.25"/>
    <row r="87" s="16" customFormat="1" x14ac:dyDescent="0.25"/>
    <row r="88" s="16" customFormat="1" x14ac:dyDescent="0.25"/>
    <row r="89" s="16" customFormat="1" x14ac:dyDescent="0.25"/>
    <row r="90" s="16" customFormat="1" x14ac:dyDescent="0.25"/>
    <row r="91" s="16" customFormat="1" x14ac:dyDescent="0.25"/>
    <row r="92" s="16" customFormat="1" x14ac:dyDescent="0.25"/>
    <row r="93" s="16" customFormat="1" x14ac:dyDescent="0.25"/>
    <row r="94" s="16" customFormat="1" x14ac:dyDescent="0.25"/>
    <row r="95" s="16" customFormat="1" x14ac:dyDescent="0.25"/>
    <row r="96" s="16" customFormat="1" x14ac:dyDescent="0.25"/>
    <row r="97" s="16" customFormat="1" x14ac:dyDescent="0.25"/>
    <row r="98" s="16" customFormat="1" x14ac:dyDescent="0.25"/>
    <row r="99" s="16" customFormat="1" x14ac:dyDescent="0.25"/>
    <row r="100" s="16" customFormat="1" x14ac:dyDescent="0.25"/>
    <row r="101" s="16" customFormat="1" x14ac:dyDescent="0.25"/>
    <row r="102" s="16" customFormat="1" x14ac:dyDescent="0.25"/>
    <row r="103" s="16" customFormat="1" x14ac:dyDescent="0.25"/>
    <row r="104" s="16" customFormat="1" x14ac:dyDescent="0.25"/>
    <row r="105" s="16" customFormat="1" x14ac:dyDescent="0.25"/>
    <row r="106" s="16" customFormat="1" x14ac:dyDescent="0.25"/>
    <row r="107" s="16" customFormat="1" x14ac:dyDescent="0.25"/>
    <row r="108" s="16" customFormat="1" x14ac:dyDescent="0.25"/>
    <row r="109" s="16" customFormat="1" x14ac:dyDescent="0.25"/>
    <row r="110" s="16" customFormat="1" x14ac:dyDescent="0.25"/>
    <row r="111" s="16" customFormat="1" x14ac:dyDescent="0.25"/>
    <row r="112" s="16" customFormat="1" x14ac:dyDescent="0.25"/>
    <row r="113" s="16" customFormat="1" x14ac:dyDescent="0.25"/>
    <row r="114" s="16" customFormat="1" x14ac:dyDescent="0.25"/>
    <row r="115" s="16" customFormat="1" x14ac:dyDescent="0.25"/>
    <row r="116" s="16" customFormat="1" x14ac:dyDescent="0.25"/>
    <row r="117" s="16" customFormat="1" x14ac:dyDescent="0.25"/>
    <row r="118" s="16" customFormat="1" x14ac:dyDescent="0.25"/>
    <row r="119" s="16" customFormat="1" x14ac:dyDescent="0.25"/>
    <row r="120" s="16" customFormat="1" x14ac:dyDescent="0.25"/>
    <row r="121" s="16" customFormat="1" x14ac:dyDescent="0.25"/>
    <row r="122" s="16" customFormat="1" x14ac:dyDescent="0.25"/>
    <row r="123" s="16" customFormat="1" x14ac:dyDescent="0.25"/>
    <row r="124" s="16" customFormat="1" x14ac:dyDescent="0.25"/>
    <row r="125" s="16" customFormat="1" x14ac:dyDescent="0.25"/>
    <row r="126" s="16" customFormat="1" x14ac:dyDescent="0.25"/>
    <row r="127" s="16" customFormat="1" x14ac:dyDescent="0.25"/>
    <row r="128" s="16" customFormat="1" x14ac:dyDescent="0.25"/>
    <row r="129" s="16" customFormat="1" x14ac:dyDescent="0.25"/>
    <row r="130" s="16" customFormat="1" x14ac:dyDescent="0.25"/>
    <row r="131" s="16" customFormat="1" x14ac:dyDescent="0.25"/>
    <row r="132" s="16" customFormat="1" x14ac:dyDescent="0.25"/>
    <row r="133" s="16" customFormat="1" x14ac:dyDescent="0.25"/>
    <row r="134" s="16" customFormat="1" x14ac:dyDescent="0.25"/>
    <row r="135" s="16" customFormat="1" x14ac:dyDescent="0.25"/>
    <row r="136" s="16" customFormat="1" x14ac:dyDescent="0.25"/>
    <row r="137" s="16" customFormat="1" x14ac:dyDescent="0.25"/>
    <row r="138" s="16" customFormat="1" x14ac:dyDescent="0.25"/>
    <row r="139" s="16" customFormat="1" x14ac:dyDescent="0.25"/>
    <row r="140" s="16" customFormat="1" x14ac:dyDescent="0.25"/>
    <row r="141" s="16" customFormat="1" x14ac:dyDescent="0.25"/>
    <row r="142" s="16" customFormat="1" x14ac:dyDescent="0.25"/>
    <row r="143" s="16" customFormat="1" x14ac:dyDescent="0.25"/>
    <row r="144" s="16" customFormat="1" x14ac:dyDescent="0.25"/>
    <row r="145" s="16" customFormat="1" x14ac:dyDescent="0.25"/>
    <row r="146" s="16" customFormat="1" x14ac:dyDescent="0.25"/>
    <row r="147" s="16" customFormat="1" x14ac:dyDescent="0.25"/>
    <row r="148" s="16" customFormat="1" x14ac:dyDescent="0.25"/>
    <row r="149" s="16" customFormat="1" x14ac:dyDescent="0.25"/>
    <row r="150" s="16" customFormat="1" x14ac:dyDescent="0.25"/>
    <row r="151" s="16" customFormat="1" x14ac:dyDescent="0.25"/>
    <row r="152" s="16" customFormat="1" x14ac:dyDescent="0.25"/>
    <row r="153" s="16" customFormat="1" x14ac:dyDescent="0.25"/>
    <row r="154" s="16" customFormat="1" x14ac:dyDescent="0.25"/>
    <row r="155" s="16" customFormat="1" x14ac:dyDescent="0.25"/>
    <row r="156" s="16" customFormat="1" x14ac:dyDescent="0.25"/>
    <row r="157" s="16" customFormat="1" x14ac:dyDescent="0.25"/>
    <row r="158" s="16" customFormat="1" x14ac:dyDescent="0.25"/>
    <row r="159" s="16" customFormat="1" x14ac:dyDescent="0.25"/>
    <row r="160" s="16" customFormat="1" x14ac:dyDescent="0.25"/>
    <row r="161" s="16" customFormat="1" x14ac:dyDescent="0.25"/>
    <row r="162" s="16" customFormat="1" x14ac:dyDescent="0.25"/>
    <row r="163" s="16" customFormat="1" x14ac:dyDescent="0.25"/>
    <row r="164" s="16" customFormat="1" x14ac:dyDescent="0.25"/>
    <row r="165" s="16" customFormat="1" x14ac:dyDescent="0.25"/>
    <row r="166" s="16" customFormat="1" x14ac:dyDescent="0.25"/>
    <row r="167" s="16" customFormat="1" x14ac:dyDescent="0.25"/>
    <row r="168" s="16" customFormat="1" x14ac:dyDescent="0.25"/>
    <row r="169" s="16" customFormat="1" x14ac:dyDescent="0.25"/>
    <row r="170" s="16" customFormat="1" x14ac:dyDescent="0.25"/>
    <row r="171" s="16" customFormat="1" x14ac:dyDescent="0.25"/>
    <row r="172" s="16" customFormat="1" x14ac:dyDescent="0.25"/>
    <row r="173" s="16" customFormat="1" x14ac:dyDescent="0.25"/>
    <row r="174" s="16" customFormat="1" x14ac:dyDescent="0.25"/>
    <row r="175" s="16" customFormat="1" x14ac:dyDescent="0.25"/>
    <row r="176" s="16" customFormat="1" x14ac:dyDescent="0.25"/>
    <row r="177" s="16" customFormat="1" x14ac:dyDescent="0.25"/>
    <row r="178" s="16" customFormat="1" x14ac:dyDescent="0.25"/>
    <row r="179" s="16" customFormat="1" x14ac:dyDescent="0.25"/>
    <row r="180" s="16" customFormat="1" x14ac:dyDescent="0.25"/>
    <row r="181" s="16" customFormat="1" x14ac:dyDescent="0.25"/>
    <row r="182" s="16" customFormat="1" x14ac:dyDescent="0.25"/>
    <row r="183" s="16" customFormat="1" x14ac:dyDescent="0.25"/>
    <row r="184" s="16" customFormat="1" x14ac:dyDescent="0.25"/>
    <row r="185" s="16" customFormat="1" x14ac:dyDescent="0.25"/>
    <row r="186" s="16" customFormat="1" x14ac:dyDescent="0.25"/>
    <row r="187" s="16" customFormat="1" x14ac:dyDescent="0.25"/>
    <row r="188" s="16" customFormat="1" x14ac:dyDescent="0.25"/>
    <row r="189" s="16" customFormat="1" x14ac:dyDescent="0.25"/>
    <row r="190" s="16" customFormat="1" x14ac:dyDescent="0.25"/>
    <row r="191" s="16" customFormat="1" x14ac:dyDescent="0.25"/>
    <row r="192" s="16" customFormat="1" x14ac:dyDescent="0.25"/>
    <row r="193" s="16" customFormat="1" x14ac:dyDescent="0.25"/>
    <row r="194" s="16" customFormat="1" x14ac:dyDescent="0.25"/>
    <row r="195" s="16" customFormat="1" x14ac:dyDescent="0.25"/>
    <row r="196" s="16" customFormat="1" x14ac:dyDescent="0.25"/>
    <row r="197" s="16" customFormat="1" x14ac:dyDescent="0.25"/>
    <row r="198" s="16" customFormat="1" x14ac:dyDescent="0.25"/>
    <row r="199" s="16" customFormat="1" x14ac:dyDescent="0.25"/>
    <row r="200" s="16" customFormat="1" x14ac:dyDescent="0.25"/>
    <row r="201" s="16" customFormat="1" x14ac:dyDescent="0.25"/>
    <row r="202" s="16" customFormat="1" x14ac:dyDescent="0.25"/>
    <row r="203" s="16" customFormat="1" x14ac:dyDescent="0.25"/>
    <row r="204" s="16" customFormat="1" x14ac:dyDescent="0.25"/>
    <row r="205" s="16" customFormat="1" x14ac:dyDescent="0.25"/>
    <row r="206" s="16" customFormat="1" x14ac:dyDescent="0.25"/>
    <row r="207" s="16" customFormat="1" x14ac:dyDescent="0.25"/>
    <row r="208" s="16" customFormat="1" x14ac:dyDescent="0.25"/>
    <row r="209" s="16" customFormat="1" x14ac:dyDescent="0.25"/>
    <row r="210" s="16" customFormat="1" x14ac:dyDescent="0.25"/>
    <row r="211" s="16" customFormat="1" x14ac:dyDescent="0.25"/>
    <row r="212" s="16" customFormat="1" x14ac:dyDescent="0.25"/>
    <row r="213" s="16" customFormat="1" x14ac:dyDescent="0.25"/>
    <row r="214" s="16" customFormat="1" x14ac:dyDescent="0.25"/>
    <row r="215" s="16" customFormat="1" x14ac:dyDescent="0.25"/>
    <row r="216" s="16" customFormat="1" x14ac:dyDescent="0.25"/>
    <row r="217" s="16" customFormat="1" x14ac:dyDescent="0.25"/>
    <row r="218" s="16" customFormat="1" x14ac:dyDescent="0.25"/>
    <row r="219" s="16" customFormat="1" x14ac:dyDescent="0.25"/>
    <row r="220" s="16" customFormat="1" x14ac:dyDescent="0.25"/>
    <row r="221" s="16" customFormat="1" x14ac:dyDescent="0.25"/>
    <row r="222" s="16" customFormat="1" x14ac:dyDescent="0.25"/>
    <row r="223" s="16" customFormat="1" x14ac:dyDescent="0.25"/>
    <row r="224" s="16" customFormat="1" x14ac:dyDescent="0.25"/>
    <row r="225" s="16" customFormat="1" x14ac:dyDescent="0.25"/>
    <row r="226" s="16" customFormat="1" x14ac:dyDescent="0.25"/>
    <row r="227" s="16" customFormat="1" x14ac:dyDescent="0.25"/>
    <row r="228" s="16" customFormat="1" x14ac:dyDescent="0.25"/>
    <row r="229" s="16" customFormat="1" x14ac:dyDescent="0.25"/>
    <row r="230" s="16" customFormat="1" x14ac:dyDescent="0.25"/>
    <row r="231" s="16" customFormat="1" x14ac:dyDescent="0.25"/>
    <row r="232" s="16" customFormat="1" x14ac:dyDescent="0.25"/>
    <row r="233" s="16" customFormat="1" x14ac:dyDescent="0.25"/>
    <row r="234" s="16" customFormat="1" x14ac:dyDescent="0.25"/>
    <row r="235" s="16" customFormat="1" x14ac:dyDescent="0.25"/>
    <row r="236" s="16" customFormat="1" x14ac:dyDescent="0.25"/>
    <row r="237" s="16" customFormat="1" x14ac:dyDescent="0.25"/>
    <row r="238" s="16" customFormat="1" x14ac:dyDescent="0.25"/>
    <row r="239" s="16" customFormat="1" x14ac:dyDescent="0.25"/>
    <row r="240" s="16" customFormat="1" x14ac:dyDescent="0.25"/>
    <row r="241" s="16" customFormat="1" x14ac:dyDescent="0.25"/>
    <row r="242" s="16" customFormat="1" x14ac:dyDescent="0.25"/>
    <row r="243" s="16" customFormat="1" x14ac:dyDescent="0.25"/>
    <row r="244" s="16" customFormat="1" x14ac:dyDescent="0.25"/>
    <row r="245" s="16" customFormat="1" x14ac:dyDescent="0.25"/>
    <row r="246" s="16" customFormat="1" x14ac:dyDescent="0.25"/>
    <row r="247" s="16" customFormat="1" x14ac:dyDescent="0.25"/>
    <row r="248" s="16" customFormat="1" x14ac:dyDescent="0.25"/>
    <row r="249" s="16" customFormat="1" x14ac:dyDescent="0.25"/>
    <row r="250" s="16" customFormat="1" x14ac:dyDescent="0.25"/>
    <row r="251" s="16" customFormat="1" x14ac:dyDescent="0.25"/>
    <row r="252" s="16" customFormat="1" x14ac:dyDescent="0.25"/>
    <row r="253" s="16" customFormat="1" x14ac:dyDescent="0.25"/>
    <row r="254" s="16" customFormat="1" x14ac:dyDescent="0.25"/>
    <row r="255" s="16" customFormat="1" x14ac:dyDescent="0.25"/>
    <row r="256" s="16" customFormat="1" x14ac:dyDescent="0.25"/>
    <row r="257" s="16" customFormat="1" x14ac:dyDescent="0.25"/>
    <row r="258" s="16" customFormat="1" x14ac:dyDescent="0.25"/>
    <row r="259" s="16" customFormat="1" x14ac:dyDescent="0.25"/>
    <row r="260" s="16" customFormat="1" x14ac:dyDescent="0.25"/>
    <row r="261" s="16" customFormat="1" x14ac:dyDescent="0.25"/>
    <row r="262" s="16" customFormat="1" x14ac:dyDescent="0.25"/>
    <row r="263" s="16" customFormat="1" x14ac:dyDescent="0.25"/>
    <row r="264" s="16" customFormat="1" x14ac:dyDescent="0.25"/>
    <row r="265" s="16" customFormat="1" x14ac:dyDescent="0.25"/>
    <row r="266" s="16" customFormat="1" x14ac:dyDescent="0.25"/>
    <row r="267" s="16" customFormat="1" x14ac:dyDescent="0.25"/>
    <row r="268" s="16" customFormat="1" x14ac:dyDescent="0.25"/>
    <row r="269" s="16" customFormat="1" x14ac:dyDescent="0.25"/>
    <row r="270" s="16" customFormat="1" x14ac:dyDescent="0.25"/>
    <row r="271" s="16" customFormat="1" x14ac:dyDescent="0.25"/>
    <row r="272" s="16" customFormat="1" x14ac:dyDescent="0.25"/>
    <row r="273" s="16" customFormat="1" x14ac:dyDescent="0.25"/>
    <row r="274" s="16" customFormat="1" x14ac:dyDescent="0.25"/>
    <row r="275" s="16" customFormat="1" x14ac:dyDescent="0.25"/>
    <row r="276" s="16" customFormat="1" x14ac:dyDescent="0.25"/>
    <row r="277" s="16" customFormat="1" x14ac:dyDescent="0.25"/>
    <row r="278" s="16" customFormat="1" x14ac:dyDescent="0.25"/>
    <row r="279" s="16" customFormat="1" x14ac:dyDescent="0.25"/>
    <row r="280" s="16" customFormat="1" x14ac:dyDescent="0.25"/>
    <row r="281" s="16" customFormat="1" x14ac:dyDescent="0.25"/>
    <row r="282" s="16" customFormat="1" x14ac:dyDescent="0.25"/>
    <row r="283" s="16" customFormat="1" x14ac:dyDescent="0.25"/>
    <row r="284" s="16" customFormat="1" x14ac:dyDescent="0.25"/>
    <row r="285" s="16" customFormat="1" x14ac:dyDescent="0.25"/>
    <row r="286" s="16" customFormat="1" x14ac:dyDescent="0.25"/>
    <row r="287" s="16" customFormat="1" x14ac:dyDescent="0.25"/>
    <row r="288" s="16" customFormat="1" x14ac:dyDescent="0.25"/>
    <row r="289" s="16" customFormat="1" x14ac:dyDescent="0.25"/>
    <row r="290" s="16" customFormat="1" x14ac:dyDescent="0.25"/>
    <row r="291" s="16" customFormat="1" x14ac:dyDescent="0.25"/>
    <row r="292" s="16" customFormat="1" x14ac:dyDescent="0.25"/>
    <row r="293" s="16" customFormat="1" x14ac:dyDescent="0.25"/>
    <row r="294" s="16" customFormat="1" x14ac:dyDescent="0.25"/>
    <row r="295" s="16" customFormat="1" x14ac:dyDescent="0.25"/>
    <row r="296" s="16" customFormat="1" x14ac:dyDescent="0.25"/>
    <row r="297" s="16" customFormat="1" x14ac:dyDescent="0.25"/>
    <row r="298" s="16" customFormat="1" x14ac:dyDescent="0.25"/>
    <row r="299" s="16" customFormat="1" x14ac:dyDescent="0.25"/>
    <row r="300" s="16" customFormat="1" x14ac:dyDescent="0.25"/>
    <row r="301" s="16" customFormat="1" x14ac:dyDescent="0.25"/>
    <row r="302" s="16" customFormat="1" x14ac:dyDescent="0.25"/>
    <row r="303" s="16" customFormat="1" x14ac:dyDescent="0.25"/>
    <row r="304" s="16" customFormat="1" x14ac:dyDescent="0.25"/>
    <row r="305" s="16" customFormat="1" x14ac:dyDescent="0.25"/>
    <row r="306" s="16" customFormat="1" x14ac:dyDescent="0.25"/>
    <row r="307" s="16" customFormat="1" x14ac:dyDescent="0.25"/>
    <row r="308" s="16" customFormat="1" x14ac:dyDescent="0.25"/>
    <row r="309" s="16" customFormat="1" x14ac:dyDescent="0.25"/>
    <row r="310" s="16" customFormat="1" x14ac:dyDescent="0.25"/>
    <row r="311" s="16" customFormat="1" x14ac:dyDescent="0.25"/>
    <row r="312" s="16" customFormat="1" x14ac:dyDescent="0.25"/>
    <row r="313" s="16" customFormat="1" x14ac:dyDescent="0.25"/>
    <row r="314" s="16" customFormat="1" x14ac:dyDescent="0.25"/>
    <row r="315" s="16" customFormat="1" x14ac:dyDescent="0.25"/>
    <row r="316" s="16" customFormat="1" x14ac:dyDescent="0.25"/>
    <row r="317" s="16" customFormat="1" x14ac:dyDescent="0.25"/>
    <row r="318" s="16" customFormat="1" x14ac:dyDescent="0.25"/>
    <row r="319" s="16" customFormat="1" x14ac:dyDescent="0.25"/>
    <row r="320" s="16" customFormat="1" x14ac:dyDescent="0.25"/>
    <row r="321" s="16" customFormat="1" x14ac:dyDescent="0.25"/>
    <row r="322" s="16" customFormat="1" x14ac:dyDescent="0.25"/>
    <row r="323" s="16" customFormat="1" x14ac:dyDescent="0.25"/>
    <row r="324" s="16" customFormat="1" x14ac:dyDescent="0.25"/>
    <row r="325" s="16" customFormat="1" x14ac:dyDescent="0.25"/>
    <row r="326" s="16" customFormat="1" x14ac:dyDescent="0.25"/>
    <row r="327" s="16" customFormat="1" x14ac:dyDescent="0.25"/>
    <row r="328" s="16" customFormat="1" x14ac:dyDescent="0.25"/>
    <row r="329" s="16" customFormat="1" x14ac:dyDescent="0.25"/>
    <row r="330" s="16" customFormat="1" x14ac:dyDescent="0.25"/>
    <row r="331" s="16" customFormat="1" x14ac:dyDescent="0.25"/>
    <row r="332" s="16" customFormat="1" x14ac:dyDescent="0.25"/>
    <row r="333" s="16" customFormat="1" x14ac:dyDescent="0.25"/>
    <row r="334" s="16" customFormat="1" x14ac:dyDescent="0.25"/>
    <row r="335" s="16" customFormat="1" x14ac:dyDescent="0.25"/>
    <row r="336" s="16" customFormat="1" x14ac:dyDescent="0.25"/>
    <row r="337" s="16" customFormat="1" x14ac:dyDescent="0.25"/>
    <row r="338" s="16" customFormat="1" x14ac:dyDescent="0.25"/>
    <row r="339" s="16" customFormat="1" x14ac:dyDescent="0.25"/>
    <row r="340" s="16" customFormat="1" x14ac:dyDescent="0.25"/>
    <row r="341" s="16" customFormat="1" x14ac:dyDescent="0.25"/>
    <row r="342" s="16" customFormat="1" x14ac:dyDescent="0.25"/>
    <row r="343" s="16" customFormat="1" x14ac:dyDescent="0.25"/>
    <row r="344" s="16" customFormat="1" x14ac:dyDescent="0.25"/>
    <row r="345" s="16" customFormat="1" x14ac:dyDescent="0.25"/>
    <row r="346" s="16" customFormat="1" x14ac:dyDescent="0.25"/>
    <row r="347" s="16" customFormat="1" x14ac:dyDescent="0.25"/>
    <row r="348" s="16" customFormat="1" x14ac:dyDescent="0.25"/>
    <row r="349" s="16" customFormat="1" x14ac:dyDescent="0.25"/>
    <row r="350" s="16" customFormat="1" x14ac:dyDescent="0.25"/>
    <row r="351" s="16" customFormat="1" x14ac:dyDescent="0.25"/>
    <row r="352" s="16" customFormat="1" x14ac:dyDescent="0.25"/>
    <row r="353" s="16" customFormat="1" x14ac:dyDescent="0.25"/>
    <row r="354" s="16" customFormat="1" x14ac:dyDescent="0.25"/>
    <row r="355" s="16" customFormat="1" x14ac:dyDescent="0.25"/>
    <row r="356" s="16" customFormat="1" x14ac:dyDescent="0.25"/>
    <row r="357" s="16" customFormat="1" x14ac:dyDescent="0.25"/>
    <row r="358" s="16" customFormat="1" x14ac:dyDescent="0.25"/>
    <row r="359" s="16" customFormat="1" x14ac:dyDescent="0.25"/>
    <row r="360" s="16" customFormat="1" x14ac:dyDescent="0.25"/>
    <row r="361" s="16" customFormat="1" x14ac:dyDescent="0.25"/>
    <row r="362" s="16" customFormat="1" x14ac:dyDescent="0.25"/>
    <row r="363" s="16" customFormat="1" x14ac:dyDescent="0.25"/>
    <row r="364" s="16" customFormat="1" x14ac:dyDescent="0.25"/>
    <row r="365" s="16" customFormat="1" x14ac:dyDescent="0.25"/>
    <row r="366" s="16" customFormat="1" x14ac:dyDescent="0.25"/>
    <row r="367" s="16" customFormat="1" x14ac:dyDescent="0.25"/>
    <row r="368" s="16" customFormat="1" x14ac:dyDescent="0.25"/>
    <row r="369" s="16" customFormat="1" x14ac:dyDescent="0.25"/>
    <row r="370" s="16" customFormat="1" x14ac:dyDescent="0.25"/>
    <row r="371" s="16" customFormat="1" x14ac:dyDescent="0.25"/>
    <row r="372" s="16" customFormat="1" x14ac:dyDescent="0.25"/>
    <row r="373" s="16" customFormat="1" x14ac:dyDescent="0.25"/>
    <row r="374" s="16" customFormat="1" x14ac:dyDescent="0.25"/>
    <row r="375" s="16" customFormat="1" x14ac:dyDescent="0.25"/>
    <row r="376" s="16" customFormat="1" x14ac:dyDescent="0.25"/>
    <row r="377" s="16" customFormat="1" x14ac:dyDescent="0.25"/>
    <row r="378" s="16" customFormat="1" x14ac:dyDescent="0.25"/>
    <row r="379" s="16" customFormat="1" x14ac:dyDescent="0.25"/>
    <row r="380" s="16" customFormat="1" x14ac:dyDescent="0.25"/>
    <row r="381" s="16" customFormat="1" x14ac:dyDescent="0.25"/>
    <row r="382" s="16" customFormat="1" x14ac:dyDescent="0.25"/>
    <row r="383" s="16" customFormat="1" x14ac:dyDescent="0.25"/>
    <row r="384" s="16" customFormat="1" x14ac:dyDescent="0.25"/>
    <row r="385" s="16" customFormat="1" x14ac:dyDescent="0.25"/>
    <row r="386" s="16" customFormat="1" x14ac:dyDescent="0.25"/>
    <row r="387" s="16" customFormat="1" x14ac:dyDescent="0.25"/>
    <row r="388" s="16" customFormat="1" x14ac:dyDescent="0.25"/>
    <row r="389" s="16" customFormat="1" x14ac:dyDescent="0.25"/>
    <row r="390" s="16" customFormat="1" x14ac:dyDescent="0.25"/>
    <row r="391" s="16" customFormat="1" x14ac:dyDescent="0.25"/>
    <row r="392" s="16" customFormat="1" x14ac:dyDescent="0.25"/>
    <row r="393" s="16" customFormat="1" x14ac:dyDescent="0.25"/>
    <row r="394" s="16" customFormat="1" x14ac:dyDescent="0.25"/>
    <row r="395" s="16" customFormat="1" x14ac:dyDescent="0.25"/>
    <row r="396" s="16" customFormat="1" x14ac:dyDescent="0.25"/>
    <row r="397" s="16" customFormat="1" x14ac:dyDescent="0.25"/>
    <row r="398" s="16" customFormat="1" x14ac:dyDescent="0.25"/>
    <row r="399" s="16" customFormat="1" x14ac:dyDescent="0.25"/>
    <row r="400" s="16" customFormat="1" x14ac:dyDescent="0.25"/>
    <row r="401" s="16" customFormat="1" x14ac:dyDescent="0.25"/>
    <row r="402" s="16" customFormat="1" x14ac:dyDescent="0.25"/>
    <row r="403" s="16" customFormat="1" x14ac:dyDescent="0.25"/>
    <row r="404" s="16" customFormat="1" x14ac:dyDescent="0.25"/>
    <row r="405" s="16" customFormat="1" x14ac:dyDescent="0.25"/>
    <row r="406" s="16" customFormat="1" x14ac:dyDescent="0.25"/>
    <row r="407" s="16" customFormat="1" x14ac:dyDescent="0.25"/>
    <row r="408" s="16" customFormat="1" x14ac:dyDescent="0.25"/>
    <row r="409" s="16" customFormat="1" x14ac:dyDescent="0.25"/>
    <row r="410" s="16" customFormat="1" x14ac:dyDescent="0.25"/>
    <row r="411" s="16" customFormat="1" x14ac:dyDescent="0.25"/>
    <row r="412" s="16" customFormat="1" x14ac:dyDescent="0.25"/>
    <row r="413" s="16" customFormat="1" x14ac:dyDescent="0.25"/>
    <row r="414" s="16" customFormat="1" x14ac:dyDescent="0.25"/>
    <row r="415" s="16" customFormat="1" x14ac:dyDescent="0.25"/>
    <row r="416" s="16" customFormat="1" x14ac:dyDescent="0.25"/>
    <row r="417" s="16" customFormat="1" x14ac:dyDescent="0.25"/>
    <row r="418" s="16" customFormat="1" x14ac:dyDescent="0.25"/>
    <row r="419" s="16" customFormat="1" x14ac:dyDescent="0.25"/>
    <row r="420" s="16" customFormat="1" x14ac:dyDescent="0.25"/>
    <row r="421" s="16" customFormat="1" x14ac:dyDescent="0.25"/>
    <row r="422" s="16" customFormat="1" x14ac:dyDescent="0.25"/>
    <row r="423" s="16" customFormat="1" x14ac:dyDescent="0.25"/>
    <row r="424" s="16" customFormat="1" x14ac:dyDescent="0.25"/>
    <row r="425" s="16" customFormat="1" x14ac:dyDescent="0.25"/>
    <row r="426" s="16" customFormat="1" x14ac:dyDescent="0.25"/>
    <row r="427" s="16" customFormat="1" x14ac:dyDescent="0.25"/>
    <row r="428" s="16" customFormat="1" x14ac:dyDescent="0.25"/>
    <row r="429" s="16" customFormat="1" x14ac:dyDescent="0.25"/>
    <row r="430" s="16" customFormat="1" x14ac:dyDescent="0.25"/>
    <row r="431" s="16" customFormat="1" x14ac:dyDescent="0.25"/>
    <row r="432" s="16" customFormat="1" x14ac:dyDescent="0.25"/>
    <row r="433" s="16" customFormat="1" x14ac:dyDescent="0.25"/>
    <row r="434" s="16" customFormat="1" x14ac:dyDescent="0.25"/>
    <row r="435" s="16" customFormat="1" x14ac:dyDescent="0.25"/>
    <row r="436" s="16" customFormat="1" x14ac:dyDescent="0.25"/>
    <row r="437" s="16" customFormat="1" x14ac:dyDescent="0.25"/>
    <row r="438" s="16" customFormat="1" x14ac:dyDescent="0.25"/>
    <row r="439" s="16" customFormat="1" x14ac:dyDescent="0.25"/>
    <row r="440" s="16" customFormat="1" x14ac:dyDescent="0.25"/>
    <row r="441" s="16" customFormat="1" x14ac:dyDescent="0.25"/>
    <row r="442" s="16" customFormat="1" x14ac:dyDescent="0.25"/>
    <row r="443" s="16" customFormat="1" x14ac:dyDescent="0.25"/>
    <row r="444" s="16" customFormat="1" x14ac:dyDescent="0.25"/>
    <row r="445" s="16" customFormat="1" x14ac:dyDescent="0.25"/>
    <row r="446" s="16" customFormat="1" x14ac:dyDescent="0.25"/>
    <row r="447" s="16" customFormat="1" x14ac:dyDescent="0.25"/>
    <row r="448" s="16" customFormat="1" x14ac:dyDescent="0.25"/>
    <row r="449" s="16" customFormat="1" x14ac:dyDescent="0.25"/>
    <row r="450" s="16" customFormat="1" x14ac:dyDescent="0.25"/>
    <row r="451" s="16" customFormat="1" x14ac:dyDescent="0.25"/>
    <row r="452" s="16" customFormat="1" x14ac:dyDescent="0.25"/>
    <row r="453" s="16" customFormat="1" x14ac:dyDescent="0.25"/>
    <row r="454" s="16" customFormat="1" x14ac:dyDescent="0.25"/>
    <row r="455" s="16" customFormat="1" x14ac:dyDescent="0.25"/>
    <row r="456" s="16" customFormat="1" x14ac:dyDescent="0.25"/>
    <row r="457" s="16" customFormat="1" x14ac:dyDescent="0.25"/>
    <row r="458" s="16" customFormat="1" x14ac:dyDescent="0.25"/>
    <row r="459" s="16" customFormat="1" x14ac:dyDescent="0.25"/>
    <row r="460" s="16" customFormat="1" x14ac:dyDescent="0.25"/>
    <row r="461" s="16" customFormat="1" x14ac:dyDescent="0.25"/>
    <row r="462" s="16" customFormat="1" x14ac:dyDescent="0.25"/>
    <row r="463" s="16" customFormat="1" x14ac:dyDescent="0.25"/>
    <row r="464" s="16" customFormat="1" x14ac:dyDescent="0.25"/>
    <row r="465" s="16" customFormat="1" x14ac:dyDescent="0.25"/>
    <row r="466" s="16" customFormat="1" x14ac:dyDescent="0.25"/>
    <row r="467" s="16" customFormat="1" x14ac:dyDescent="0.25"/>
    <row r="468" s="16" customFormat="1" x14ac:dyDescent="0.25"/>
    <row r="469" s="16" customFormat="1" x14ac:dyDescent="0.25"/>
    <row r="470" s="16" customFormat="1" x14ac:dyDescent="0.25"/>
    <row r="471" s="16" customFormat="1" x14ac:dyDescent="0.25"/>
    <row r="472" s="16" customFormat="1" x14ac:dyDescent="0.25"/>
    <row r="473" s="16" customFormat="1" x14ac:dyDescent="0.25"/>
    <row r="474" s="16" customFormat="1" x14ac:dyDescent="0.25"/>
    <row r="475" s="16" customFormat="1" x14ac:dyDescent="0.25"/>
    <row r="476" s="16" customFormat="1" x14ac:dyDescent="0.25"/>
    <row r="477" s="16" customFormat="1" x14ac:dyDescent="0.25"/>
    <row r="478" s="16" customFormat="1" x14ac:dyDescent="0.25"/>
    <row r="479" s="16" customFormat="1" x14ac:dyDescent="0.25"/>
    <row r="480" s="16" customFormat="1" x14ac:dyDescent="0.25"/>
    <row r="481" s="16" customFormat="1" x14ac:dyDescent="0.25"/>
    <row r="482" s="16" customFormat="1" x14ac:dyDescent="0.25"/>
    <row r="483" s="16" customFormat="1" x14ac:dyDescent="0.25"/>
    <row r="484" s="16" customFormat="1" x14ac:dyDescent="0.25"/>
    <row r="485" s="16" customFormat="1" x14ac:dyDescent="0.25"/>
    <row r="486" s="16" customFormat="1" x14ac:dyDescent="0.25"/>
    <row r="487" s="16" customFormat="1" x14ac:dyDescent="0.25"/>
    <row r="488" s="16" customFormat="1" x14ac:dyDescent="0.25"/>
    <row r="489" s="16" customFormat="1" x14ac:dyDescent="0.25"/>
    <row r="490" s="16" customFormat="1" x14ac:dyDescent="0.25"/>
    <row r="491" s="16" customFormat="1" x14ac:dyDescent="0.25"/>
    <row r="492" s="16" customFormat="1" x14ac:dyDescent="0.25"/>
    <row r="493" s="16" customFormat="1" x14ac:dyDescent="0.25"/>
    <row r="494" s="16" customFormat="1" x14ac:dyDescent="0.25"/>
    <row r="495" s="16" customFormat="1" x14ac:dyDescent="0.25"/>
    <row r="496" s="16" customFormat="1" x14ac:dyDescent="0.25"/>
    <row r="497" s="16" customFormat="1" x14ac:dyDescent="0.25"/>
    <row r="498" s="16" customFormat="1" x14ac:dyDescent="0.25"/>
    <row r="499" s="16" customFormat="1" x14ac:dyDescent="0.25"/>
    <row r="500" s="16" customFormat="1" x14ac:dyDescent="0.25"/>
    <row r="501" s="16" customFormat="1" x14ac:dyDescent="0.25"/>
    <row r="502" s="16" customFormat="1" x14ac:dyDescent="0.25"/>
    <row r="503" s="16" customFormat="1" x14ac:dyDescent="0.25"/>
    <row r="504" s="16" customFormat="1" x14ac:dyDescent="0.25"/>
    <row r="505" s="16" customFormat="1" x14ac:dyDescent="0.25"/>
    <row r="506" s="16" customFormat="1" x14ac:dyDescent="0.25"/>
    <row r="507" s="16" customFormat="1" x14ac:dyDescent="0.25"/>
    <row r="508" s="16" customFormat="1" x14ac:dyDescent="0.25"/>
    <row r="509" s="16" customFormat="1" x14ac:dyDescent="0.25"/>
    <row r="510" s="16" customFormat="1" x14ac:dyDescent="0.25"/>
    <row r="511" s="16" customFormat="1" x14ac:dyDescent="0.25"/>
    <row r="512" s="16" customFormat="1" x14ac:dyDescent="0.25"/>
    <row r="513" s="16" customFormat="1" x14ac:dyDescent="0.25"/>
    <row r="514" s="16" customFormat="1" x14ac:dyDescent="0.25"/>
    <row r="515" s="16" customFormat="1" x14ac:dyDescent="0.25"/>
    <row r="516" s="16" customFormat="1" x14ac:dyDescent="0.25"/>
    <row r="517" s="16" customFormat="1" x14ac:dyDescent="0.25"/>
    <row r="518" s="16" customFormat="1" x14ac:dyDescent="0.25"/>
    <row r="519" s="16" customFormat="1" x14ac:dyDescent="0.25"/>
    <row r="520" s="16" customFormat="1" x14ac:dyDescent="0.25"/>
    <row r="521" s="16" customFormat="1" x14ac:dyDescent="0.25"/>
    <row r="522" s="16" customFormat="1" x14ac:dyDescent="0.25"/>
    <row r="523" s="16" customFormat="1" x14ac:dyDescent="0.25"/>
    <row r="524" s="16" customFormat="1" x14ac:dyDescent="0.25"/>
    <row r="525" s="16" customFormat="1" x14ac:dyDescent="0.25"/>
    <row r="526" s="16" customFormat="1" x14ac:dyDescent="0.25"/>
    <row r="527" s="16" customFormat="1" x14ac:dyDescent="0.25"/>
    <row r="528" s="16" customFormat="1" x14ac:dyDescent="0.25"/>
    <row r="529" s="16" customFormat="1" x14ac:dyDescent="0.25"/>
    <row r="530" s="16" customFormat="1" x14ac:dyDescent="0.25"/>
    <row r="531" s="16" customFormat="1" x14ac:dyDescent="0.25"/>
    <row r="532" s="16" customFormat="1" x14ac:dyDescent="0.25"/>
    <row r="533" s="16" customFormat="1" x14ac:dyDescent="0.25"/>
    <row r="534" s="16" customFormat="1" x14ac:dyDescent="0.25"/>
    <row r="535" s="16" customFormat="1" x14ac:dyDescent="0.25"/>
    <row r="536" s="16" customFormat="1" x14ac:dyDescent="0.25"/>
    <row r="537" s="16" customFormat="1" x14ac:dyDescent="0.25"/>
    <row r="538" s="16" customFormat="1" x14ac:dyDescent="0.25"/>
    <row r="539" s="16" customFormat="1" x14ac:dyDescent="0.25"/>
    <row r="540" s="16" customFormat="1" x14ac:dyDescent="0.25"/>
    <row r="541" s="16" customFormat="1" x14ac:dyDescent="0.25"/>
    <row r="542" s="16" customFormat="1" x14ac:dyDescent="0.25"/>
    <row r="543" s="16" customFormat="1" x14ac:dyDescent="0.25"/>
    <row r="544" s="16" customFormat="1" x14ac:dyDescent="0.25"/>
    <row r="545" s="16" customFormat="1" x14ac:dyDescent="0.25"/>
    <row r="546" s="16" customFormat="1" x14ac:dyDescent="0.25"/>
    <row r="547" s="16" customFormat="1" x14ac:dyDescent="0.25"/>
    <row r="548" s="16" customFormat="1" x14ac:dyDescent="0.25"/>
    <row r="549" s="16" customFormat="1" x14ac:dyDescent="0.25"/>
    <row r="550" s="16" customFormat="1" x14ac:dyDescent="0.25"/>
    <row r="551" s="16" customFormat="1" x14ac:dyDescent="0.25"/>
    <row r="552" s="16" customFormat="1" x14ac:dyDescent="0.25"/>
    <row r="553" s="16" customFormat="1" x14ac:dyDescent="0.25"/>
    <row r="554" s="16" customFormat="1" x14ac:dyDescent="0.25"/>
    <row r="555" s="16" customFormat="1" x14ac:dyDescent="0.25"/>
    <row r="556" s="16" customFormat="1" x14ac:dyDescent="0.25"/>
    <row r="557" s="16" customFormat="1" x14ac:dyDescent="0.25"/>
    <row r="558" s="16" customFormat="1" x14ac:dyDescent="0.25"/>
    <row r="559" s="16" customFormat="1" x14ac:dyDescent="0.25"/>
    <row r="560" s="16" customFormat="1" x14ac:dyDescent="0.25"/>
    <row r="561" s="16" customFormat="1" x14ac:dyDescent="0.25"/>
    <row r="562" s="16" customFormat="1" x14ac:dyDescent="0.25"/>
    <row r="563" s="16" customFormat="1" x14ac:dyDescent="0.25"/>
    <row r="564" s="16" customFormat="1" x14ac:dyDescent="0.25"/>
    <row r="565" s="16" customFormat="1" x14ac:dyDescent="0.25"/>
    <row r="566" s="16" customFormat="1" x14ac:dyDescent="0.25"/>
    <row r="567" s="16" customFormat="1" x14ac:dyDescent="0.25"/>
    <row r="568" s="16" customFormat="1" x14ac:dyDescent="0.25"/>
    <row r="569" s="16" customFormat="1" x14ac:dyDescent="0.25"/>
    <row r="570" s="16" customFormat="1" x14ac:dyDescent="0.25"/>
    <row r="571" s="16" customFormat="1" x14ac:dyDescent="0.25"/>
    <row r="572" s="16" customFormat="1" x14ac:dyDescent="0.25"/>
    <row r="573" s="16" customFormat="1" x14ac:dyDescent="0.25"/>
    <row r="574" s="16" customFormat="1" x14ac:dyDescent="0.25"/>
    <row r="575" s="16" customFormat="1" x14ac:dyDescent="0.25"/>
    <row r="576" s="16" customFormat="1" x14ac:dyDescent="0.25"/>
    <row r="577" s="16" customFormat="1" x14ac:dyDescent="0.25"/>
    <row r="578" s="16" customFormat="1" x14ac:dyDescent="0.25"/>
    <row r="579" s="16" customFormat="1" x14ac:dyDescent="0.25"/>
    <row r="580" s="16" customFormat="1" x14ac:dyDescent="0.25"/>
    <row r="581" s="16" customFormat="1" x14ac:dyDescent="0.25"/>
    <row r="582" s="16" customFormat="1" x14ac:dyDescent="0.25"/>
    <row r="583" s="16" customFormat="1" x14ac:dyDescent="0.25"/>
    <row r="584" s="16" customFormat="1" x14ac:dyDescent="0.25"/>
    <row r="585" s="16" customFormat="1" x14ac:dyDescent="0.25"/>
    <row r="586" s="16" customFormat="1" x14ac:dyDescent="0.25"/>
    <row r="587" s="16" customFormat="1" x14ac:dyDescent="0.25"/>
    <row r="588" s="16" customFormat="1" x14ac:dyDescent="0.25"/>
    <row r="589" s="16" customFormat="1" x14ac:dyDescent="0.25"/>
    <row r="590" s="16" customFormat="1" x14ac:dyDescent="0.25"/>
    <row r="591" s="16" customFormat="1" x14ac:dyDescent="0.25"/>
    <row r="592" s="16" customFormat="1" x14ac:dyDescent="0.25"/>
    <row r="593" s="16" customFormat="1" x14ac:dyDescent="0.25"/>
    <row r="594" s="16" customFormat="1" x14ac:dyDescent="0.25"/>
    <row r="595" s="16" customFormat="1" x14ac:dyDescent="0.25"/>
    <row r="596" s="16" customFormat="1" x14ac:dyDescent="0.25"/>
    <row r="597" s="16" customFormat="1" x14ac:dyDescent="0.25"/>
    <row r="598" s="16" customFormat="1" x14ac:dyDescent="0.25"/>
    <row r="599" s="16" customFormat="1" x14ac:dyDescent="0.25"/>
    <row r="600" s="16" customFormat="1" x14ac:dyDescent="0.25"/>
    <row r="601" s="16" customFormat="1" x14ac:dyDescent="0.25"/>
    <row r="602" s="16" customFormat="1" x14ac:dyDescent="0.25"/>
    <row r="603" s="16" customFormat="1" x14ac:dyDescent="0.25"/>
    <row r="604" s="16" customFormat="1" x14ac:dyDescent="0.25"/>
    <row r="605" s="16" customFormat="1" x14ac:dyDescent="0.25"/>
    <row r="606" s="16" customFormat="1" x14ac:dyDescent="0.25"/>
    <row r="607" s="16" customFormat="1" x14ac:dyDescent="0.25"/>
    <row r="608" s="16" customFormat="1" x14ac:dyDescent="0.25"/>
    <row r="609" s="16" customFormat="1" x14ac:dyDescent="0.25"/>
    <row r="610" s="16" customFormat="1" x14ac:dyDescent="0.25"/>
    <row r="611" s="16" customFormat="1" x14ac:dyDescent="0.25"/>
    <row r="612" s="16" customFormat="1" x14ac:dyDescent="0.25"/>
    <row r="613" s="16" customFormat="1" x14ac:dyDescent="0.25"/>
    <row r="614" s="16" customFormat="1" x14ac:dyDescent="0.25"/>
    <row r="615" s="16" customFormat="1" x14ac:dyDescent="0.25"/>
    <row r="616" s="16" customFormat="1" x14ac:dyDescent="0.25"/>
    <row r="617" s="16" customFormat="1" x14ac:dyDescent="0.25"/>
    <row r="618" s="16" customFormat="1" x14ac:dyDescent="0.25"/>
    <row r="619" s="16" customFormat="1" x14ac:dyDescent="0.25"/>
    <row r="620" s="16" customFormat="1" x14ac:dyDescent="0.25"/>
    <row r="621" s="16" customFormat="1" x14ac:dyDescent="0.25"/>
    <row r="622" s="16" customFormat="1" x14ac:dyDescent="0.25"/>
    <row r="623" s="16" customFormat="1" x14ac:dyDescent="0.25"/>
    <row r="624" s="16" customFormat="1" x14ac:dyDescent="0.25"/>
    <row r="625" s="16" customFormat="1" x14ac:dyDescent="0.25"/>
    <row r="626" s="16" customFormat="1" x14ac:dyDescent="0.25"/>
    <row r="627" s="16" customFormat="1" x14ac:dyDescent="0.25"/>
    <row r="628" s="16" customFormat="1" x14ac:dyDescent="0.25"/>
    <row r="629" s="16" customFormat="1" x14ac:dyDescent="0.25"/>
    <row r="630" s="16" customFormat="1" x14ac:dyDescent="0.25"/>
    <row r="631" s="16" customFormat="1" x14ac:dyDescent="0.25"/>
    <row r="632" s="16" customFormat="1" x14ac:dyDescent="0.25"/>
    <row r="633" s="16" customFormat="1" x14ac:dyDescent="0.25"/>
    <row r="634" s="16" customFormat="1" x14ac:dyDescent="0.25"/>
    <row r="635" s="16" customFormat="1" x14ac:dyDescent="0.25"/>
    <row r="636" s="16" customFormat="1" x14ac:dyDescent="0.25"/>
    <row r="637" s="16" customFormat="1" x14ac:dyDescent="0.25"/>
    <row r="638" s="16" customFormat="1" x14ac:dyDescent="0.25"/>
    <row r="639" s="16" customFormat="1" x14ac:dyDescent="0.25"/>
    <row r="640" s="16" customFormat="1" x14ac:dyDescent="0.25"/>
    <row r="641" s="16" customFormat="1" x14ac:dyDescent="0.25"/>
    <row r="642" s="16" customFormat="1" x14ac:dyDescent="0.25"/>
    <row r="643" s="16" customFormat="1" x14ac:dyDescent="0.25"/>
    <row r="644" s="16" customFormat="1" x14ac:dyDescent="0.25"/>
    <row r="645" s="16" customFormat="1" x14ac:dyDescent="0.25"/>
    <row r="646" s="16" customFormat="1" x14ac:dyDescent="0.25"/>
    <row r="647" s="16" customFormat="1" x14ac:dyDescent="0.25"/>
    <row r="648" s="16" customFormat="1" x14ac:dyDescent="0.25"/>
    <row r="649" s="16" customFormat="1" x14ac:dyDescent="0.25"/>
    <row r="650" s="16" customFormat="1" x14ac:dyDescent="0.25"/>
    <row r="651" s="16" customFormat="1" x14ac:dyDescent="0.25"/>
    <row r="652" s="16" customFormat="1" x14ac:dyDescent="0.25"/>
    <row r="653" s="16" customFormat="1" x14ac:dyDescent="0.25"/>
    <row r="654" s="16" customFormat="1" x14ac:dyDescent="0.25"/>
    <row r="655" s="16" customFormat="1" x14ac:dyDescent="0.25"/>
    <row r="656" s="16" customFormat="1" x14ac:dyDescent="0.25"/>
    <row r="657" s="16" customFormat="1" x14ac:dyDescent="0.25"/>
    <row r="658" s="16" customFormat="1" x14ac:dyDescent="0.25"/>
    <row r="659" s="16" customFormat="1" x14ac:dyDescent="0.25"/>
    <row r="660" s="16" customFormat="1" x14ac:dyDescent="0.25"/>
    <row r="661" s="16" customFormat="1" x14ac:dyDescent="0.25"/>
    <row r="662" s="16" customFormat="1" x14ac:dyDescent="0.25"/>
    <row r="663" s="16" customFormat="1" x14ac:dyDescent="0.25"/>
    <row r="664" s="16" customFormat="1" x14ac:dyDescent="0.25"/>
    <row r="665" s="16" customFormat="1" x14ac:dyDescent="0.25"/>
    <row r="666" s="16" customFormat="1" x14ac:dyDescent="0.25"/>
    <row r="667" s="16" customFormat="1" x14ac:dyDescent="0.25"/>
    <row r="668" s="16" customFormat="1" x14ac:dyDescent="0.25"/>
    <row r="669" s="16" customFormat="1" x14ac:dyDescent="0.25"/>
    <row r="670" s="16" customFormat="1" x14ac:dyDescent="0.25"/>
    <row r="671" s="16" customFormat="1" x14ac:dyDescent="0.25"/>
    <row r="672" s="16" customFormat="1" x14ac:dyDescent="0.25"/>
    <row r="673" s="16" customFormat="1" x14ac:dyDescent="0.25"/>
    <row r="674" s="16" customFormat="1" x14ac:dyDescent="0.25"/>
    <row r="675" s="16" customFormat="1" x14ac:dyDescent="0.25"/>
    <row r="676" s="16" customFormat="1" x14ac:dyDescent="0.25"/>
    <row r="677" s="16" customFormat="1" x14ac:dyDescent="0.25"/>
    <row r="678" s="16" customFormat="1" x14ac:dyDescent="0.25"/>
    <row r="679" s="16" customFormat="1" x14ac:dyDescent="0.25"/>
    <row r="680" s="16" customFormat="1" x14ac:dyDescent="0.25"/>
    <row r="681" s="16" customFormat="1" x14ac:dyDescent="0.25"/>
    <row r="682" s="16" customFormat="1" x14ac:dyDescent="0.25"/>
    <row r="683" s="16" customFormat="1" x14ac:dyDescent="0.25"/>
    <row r="684" s="16" customFormat="1" x14ac:dyDescent="0.25"/>
    <row r="685" s="16" customFormat="1" x14ac:dyDescent="0.25"/>
    <row r="686" s="16" customFormat="1" x14ac:dyDescent="0.25"/>
    <row r="687" s="16" customFormat="1" x14ac:dyDescent="0.25"/>
    <row r="688" s="16" customFormat="1" x14ac:dyDescent="0.25"/>
    <row r="689" s="16" customFormat="1" x14ac:dyDescent="0.25"/>
    <row r="690" s="16" customFormat="1" x14ac:dyDescent="0.25"/>
    <row r="691" s="16" customFormat="1" x14ac:dyDescent="0.25"/>
    <row r="692" s="16" customFormat="1" x14ac:dyDescent="0.25"/>
    <row r="693" s="16" customFormat="1" x14ac:dyDescent="0.25"/>
    <row r="694" s="16" customFormat="1" x14ac:dyDescent="0.25"/>
    <row r="695" s="16" customFormat="1" x14ac:dyDescent="0.25"/>
    <row r="696" s="16" customFormat="1" x14ac:dyDescent="0.25"/>
    <row r="697" s="16" customFormat="1" x14ac:dyDescent="0.25"/>
    <row r="698" s="16" customFormat="1" x14ac:dyDescent="0.25"/>
    <row r="699" s="16" customFormat="1" x14ac:dyDescent="0.25"/>
    <row r="700" s="16" customFormat="1" x14ac:dyDescent="0.25"/>
    <row r="701" s="16" customFormat="1" x14ac:dyDescent="0.25"/>
    <row r="702" s="16" customFormat="1" x14ac:dyDescent="0.25"/>
    <row r="703" s="16" customFormat="1" x14ac:dyDescent="0.25"/>
    <row r="704" s="16" customFormat="1" x14ac:dyDescent="0.25"/>
    <row r="705" s="16" customFormat="1" x14ac:dyDescent="0.25"/>
    <row r="706" s="16" customFormat="1" x14ac:dyDescent="0.25"/>
    <row r="707" s="16" customFormat="1" x14ac:dyDescent="0.25"/>
    <row r="708" s="16" customFormat="1" x14ac:dyDescent="0.25"/>
    <row r="709" s="16" customFormat="1" x14ac:dyDescent="0.25"/>
    <row r="710" s="16" customFormat="1" x14ac:dyDescent="0.25"/>
    <row r="711" s="16" customFormat="1" x14ac:dyDescent="0.25"/>
    <row r="712" s="16" customFormat="1" x14ac:dyDescent="0.25"/>
    <row r="713" s="16" customFormat="1" x14ac:dyDescent="0.25"/>
    <row r="714" s="16" customFormat="1" x14ac:dyDescent="0.25"/>
    <row r="715" s="16" customFormat="1" x14ac:dyDescent="0.25"/>
    <row r="716" s="16" customFormat="1" x14ac:dyDescent="0.25"/>
    <row r="717" s="16" customFormat="1" x14ac:dyDescent="0.25"/>
    <row r="718" s="16" customFormat="1" x14ac:dyDescent="0.25"/>
    <row r="719" s="16" customFormat="1" x14ac:dyDescent="0.25"/>
    <row r="720" s="16" customFormat="1" x14ac:dyDescent="0.25"/>
    <row r="721" s="16" customFormat="1" x14ac:dyDescent="0.25"/>
    <row r="722" s="16" customFormat="1" x14ac:dyDescent="0.25"/>
    <row r="723" s="16" customFormat="1" x14ac:dyDescent="0.25"/>
    <row r="724" s="16" customFormat="1" x14ac:dyDescent="0.25"/>
    <row r="725" s="16" customFormat="1" x14ac:dyDescent="0.25"/>
    <row r="726" s="16" customFormat="1" x14ac:dyDescent="0.25"/>
    <row r="727" s="16" customFormat="1" x14ac:dyDescent="0.25"/>
    <row r="728" s="16" customFormat="1" x14ac:dyDescent="0.25"/>
    <row r="729" s="16" customFormat="1" x14ac:dyDescent="0.25"/>
    <row r="730" s="16" customFormat="1" x14ac:dyDescent="0.25"/>
    <row r="731" s="16" customFormat="1" x14ac:dyDescent="0.25"/>
    <row r="732" s="16" customFormat="1" x14ac:dyDescent="0.25"/>
    <row r="733" s="16" customFormat="1" x14ac:dyDescent="0.25"/>
    <row r="734" s="16" customFormat="1" x14ac:dyDescent="0.25"/>
    <row r="735" s="16" customFormat="1" x14ac:dyDescent="0.25"/>
    <row r="736" s="16" customFormat="1" x14ac:dyDescent="0.25"/>
    <row r="737" s="16" customFormat="1" x14ac:dyDescent="0.25"/>
    <row r="738" s="16" customFormat="1" x14ac:dyDescent="0.25"/>
    <row r="739" s="16" customFormat="1" x14ac:dyDescent="0.25"/>
    <row r="740" s="16" customFormat="1" x14ac:dyDescent="0.25"/>
    <row r="741" s="16" customFormat="1" x14ac:dyDescent="0.25"/>
    <row r="742" s="16" customFormat="1" x14ac:dyDescent="0.25"/>
    <row r="743" s="16" customFormat="1" x14ac:dyDescent="0.25"/>
    <row r="744" s="16" customFormat="1" x14ac:dyDescent="0.25"/>
    <row r="745" s="16" customFormat="1" x14ac:dyDescent="0.25"/>
    <row r="746" s="16" customFormat="1" x14ac:dyDescent="0.25"/>
    <row r="747" s="16" customFormat="1" x14ac:dyDescent="0.25"/>
    <row r="748" s="16" customFormat="1" x14ac:dyDescent="0.25"/>
    <row r="749" s="16" customFormat="1" x14ac:dyDescent="0.25"/>
    <row r="750" s="16" customFormat="1" x14ac:dyDescent="0.25"/>
    <row r="751" s="16" customFormat="1" x14ac:dyDescent="0.25"/>
    <row r="752" s="16" customFormat="1" x14ac:dyDescent="0.25"/>
    <row r="753" s="16" customFormat="1" x14ac:dyDescent="0.25"/>
    <row r="754" s="16" customFormat="1" x14ac:dyDescent="0.25"/>
    <row r="755" s="16" customFormat="1" x14ac:dyDescent="0.25"/>
    <row r="756" s="16" customFormat="1" x14ac:dyDescent="0.25"/>
    <row r="757" s="16" customFormat="1" x14ac:dyDescent="0.25"/>
    <row r="758" s="16" customFormat="1" x14ac:dyDescent="0.25"/>
    <row r="759" s="16" customFormat="1" x14ac:dyDescent="0.25"/>
    <row r="760" s="16" customFormat="1" x14ac:dyDescent="0.25"/>
    <row r="761" s="16" customFormat="1" x14ac:dyDescent="0.25"/>
    <row r="762" s="16" customFormat="1" x14ac:dyDescent="0.25"/>
    <row r="763" s="16" customFormat="1" x14ac:dyDescent="0.25"/>
    <row r="764" s="16" customFormat="1" x14ac:dyDescent="0.25"/>
    <row r="765" s="16" customFormat="1" x14ac:dyDescent="0.25"/>
    <row r="766" s="16" customFormat="1" x14ac:dyDescent="0.25"/>
    <row r="767" s="16" customFormat="1" x14ac:dyDescent="0.25"/>
    <row r="768" s="16" customFormat="1" x14ac:dyDescent="0.25"/>
    <row r="769" s="16" customFormat="1" x14ac:dyDescent="0.25"/>
    <row r="770" s="16" customFormat="1" x14ac:dyDescent="0.25"/>
    <row r="771" s="16" customFormat="1" x14ac:dyDescent="0.25"/>
    <row r="772" s="16" customFormat="1" x14ac:dyDescent="0.25"/>
    <row r="773" s="16" customFormat="1" x14ac:dyDescent="0.25"/>
    <row r="774" s="16" customFormat="1" x14ac:dyDescent="0.25"/>
    <row r="775" s="16" customFormat="1" x14ac:dyDescent="0.25"/>
    <row r="776" s="16" customFormat="1" x14ac:dyDescent="0.25"/>
    <row r="777" s="16" customFormat="1" x14ac:dyDescent="0.25"/>
    <row r="778" s="16" customFormat="1" x14ac:dyDescent="0.25"/>
    <row r="779" s="16" customFormat="1" x14ac:dyDescent="0.25"/>
    <row r="780" s="16" customFormat="1" x14ac:dyDescent="0.25"/>
    <row r="781" s="16" customFormat="1" x14ac:dyDescent="0.25"/>
    <row r="782" s="16" customFormat="1" x14ac:dyDescent="0.25"/>
    <row r="783" s="16" customFormat="1" x14ac:dyDescent="0.25"/>
    <row r="784" s="16" customFormat="1" x14ac:dyDescent="0.25"/>
    <row r="785" s="16" customFormat="1" x14ac:dyDescent="0.25"/>
    <row r="786" s="16" customFormat="1" x14ac:dyDescent="0.25"/>
    <row r="787" s="16" customFormat="1" x14ac:dyDescent="0.25"/>
    <row r="788" s="16" customFormat="1" x14ac:dyDescent="0.25"/>
    <row r="789" s="16" customFormat="1" x14ac:dyDescent="0.25"/>
    <row r="790" s="16" customFormat="1" x14ac:dyDescent="0.25"/>
    <row r="791" s="16" customFormat="1" x14ac:dyDescent="0.25"/>
    <row r="792" s="16" customFormat="1" x14ac:dyDescent="0.25"/>
    <row r="793" s="16" customFormat="1" x14ac:dyDescent="0.25"/>
    <row r="794" s="16" customFormat="1" x14ac:dyDescent="0.25"/>
    <row r="795" s="16" customFormat="1" x14ac:dyDescent="0.25"/>
    <row r="796" s="16" customFormat="1" x14ac:dyDescent="0.25"/>
    <row r="797" s="16" customFormat="1" x14ac:dyDescent="0.25"/>
    <row r="798" s="16" customFormat="1" x14ac:dyDescent="0.25"/>
    <row r="799" s="16" customFormat="1" x14ac:dyDescent="0.25"/>
    <row r="800" s="16" customFormat="1" x14ac:dyDescent="0.25"/>
    <row r="801" s="16" customFormat="1" x14ac:dyDescent="0.25"/>
    <row r="802" s="16" customFormat="1" x14ac:dyDescent="0.25"/>
    <row r="803" s="16" customFormat="1" x14ac:dyDescent="0.25"/>
    <row r="804" s="16" customFormat="1" x14ac:dyDescent="0.25"/>
    <row r="805" s="16" customFormat="1" x14ac:dyDescent="0.25"/>
    <row r="806" s="16" customFormat="1" x14ac:dyDescent="0.25"/>
    <row r="807" s="16" customFormat="1" x14ac:dyDescent="0.25"/>
    <row r="808" s="16" customFormat="1" x14ac:dyDescent="0.25"/>
    <row r="809" s="16" customFormat="1" x14ac:dyDescent="0.25"/>
    <row r="810" s="16" customFormat="1" x14ac:dyDescent="0.25"/>
    <row r="811" s="16" customFormat="1" x14ac:dyDescent="0.25"/>
    <row r="812" s="16" customFormat="1" x14ac:dyDescent="0.25"/>
    <row r="813" s="16" customFormat="1" x14ac:dyDescent="0.25"/>
    <row r="814" s="16" customFormat="1" x14ac:dyDescent="0.25"/>
  </sheetData>
  <mergeCells count="4">
    <mergeCell ref="A7:C7"/>
    <mergeCell ref="A8:D8"/>
    <mergeCell ref="A6:C6"/>
    <mergeCell ref="B1:C3"/>
  </mergeCells>
  <phoneticPr fontId="3" type="noConversion"/>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3F350-E492-44C7-8F99-791BF9D14D21}">
  <sheetPr codeName="Sheet4">
    <tabColor theme="3" tint="0.59999389629810485"/>
  </sheetPr>
  <dimension ref="A1:L21"/>
  <sheetViews>
    <sheetView showGridLines="0" zoomScaleNormal="100" workbookViewId="0">
      <selection activeCell="K8" sqref="K8"/>
    </sheetView>
  </sheetViews>
  <sheetFormatPr defaultColWidth="8.81640625" defaultRowHeight="12.75" customHeight="1" x14ac:dyDescent="0.25"/>
  <cols>
    <col min="1" max="1" width="6.453125" customWidth="1"/>
    <col min="2" max="2" width="16.453125" bestFit="1" customWidth="1"/>
    <col min="3" max="3" width="13.81640625" customWidth="1"/>
    <col min="4" max="4" width="57.453125" bestFit="1" customWidth="1"/>
    <col min="5" max="5" width="10.08984375" customWidth="1"/>
    <col min="6" max="6" width="22" customWidth="1"/>
    <col min="7" max="7" width="8.453125" customWidth="1"/>
    <col min="8" max="8" width="50.453125" customWidth="1"/>
    <col min="9" max="9" width="19.81640625" bestFit="1" customWidth="1"/>
    <col min="11" max="11" width="9.7265625" customWidth="1"/>
    <col min="12" max="12" width="16.453125" customWidth="1"/>
  </cols>
  <sheetData>
    <row r="1" spans="1:12" ht="21" customHeight="1" x14ac:dyDescent="0.25">
      <c r="A1" s="65" t="s">
        <v>13</v>
      </c>
      <c r="B1" s="65" t="s">
        <v>43</v>
      </c>
      <c r="C1" s="65" t="s">
        <v>44</v>
      </c>
      <c r="D1" s="65" t="s">
        <v>45</v>
      </c>
      <c r="E1" s="65" t="s">
        <v>46</v>
      </c>
      <c r="F1" s="65" t="s">
        <v>47</v>
      </c>
    </row>
    <row r="2" spans="1:12" ht="12.65" customHeight="1" x14ac:dyDescent="0.25">
      <c r="A2" s="191">
        <v>1</v>
      </c>
      <c r="B2" s="194" t="s">
        <v>48</v>
      </c>
      <c r="C2" s="194" t="s">
        <v>49</v>
      </c>
      <c r="D2" s="155" t="s">
        <v>50</v>
      </c>
      <c r="E2" s="155">
        <v>75</v>
      </c>
      <c r="F2" s="160">
        <f t="shared" ref="F2:F16" si="0">E2/$E$17</f>
        <v>0.20833333333333334</v>
      </c>
    </row>
    <row r="3" spans="1:12" ht="14.15" customHeight="1" x14ac:dyDescent="0.25">
      <c r="A3" s="192"/>
      <c r="B3" s="195"/>
      <c r="C3" s="195"/>
      <c r="D3" s="156" t="s">
        <v>51</v>
      </c>
      <c r="E3" s="156">
        <v>50</v>
      </c>
      <c r="F3" s="160">
        <f t="shared" si="0"/>
        <v>0.1388888888888889</v>
      </c>
    </row>
    <row r="4" spans="1:12" ht="14.15" customHeight="1" x14ac:dyDescent="0.25">
      <c r="A4" s="192"/>
      <c r="B4" s="195"/>
      <c r="C4" s="195"/>
      <c r="D4" s="155" t="s">
        <v>52</v>
      </c>
      <c r="E4" s="155">
        <v>10</v>
      </c>
      <c r="F4" s="160">
        <f t="shared" si="0"/>
        <v>2.7777777777777776E-2</v>
      </c>
    </row>
    <row r="5" spans="1:12" ht="14.15" customHeight="1" x14ac:dyDescent="0.25">
      <c r="A5" s="192"/>
      <c r="B5" s="195"/>
      <c r="C5" s="195"/>
      <c r="D5" s="156" t="s">
        <v>53</v>
      </c>
      <c r="E5" s="156">
        <v>2.5</v>
      </c>
      <c r="F5" s="160">
        <f t="shared" si="0"/>
        <v>6.9444444444444441E-3</v>
      </c>
    </row>
    <row r="6" spans="1:12" ht="14.15" customHeight="1" x14ac:dyDescent="0.25">
      <c r="A6" s="192"/>
      <c r="B6" s="195"/>
      <c r="C6" s="195"/>
      <c r="D6" s="156" t="s">
        <v>53</v>
      </c>
      <c r="E6" s="156">
        <v>2.5</v>
      </c>
      <c r="F6" s="160">
        <f t="shared" si="0"/>
        <v>6.9444444444444441E-3</v>
      </c>
    </row>
    <row r="7" spans="1:12" ht="14.15" customHeight="1" x14ac:dyDescent="0.3">
      <c r="A7" s="192"/>
      <c r="B7" s="195"/>
      <c r="C7" s="195"/>
      <c r="D7" s="155" t="s">
        <v>54</v>
      </c>
      <c r="E7" s="155">
        <v>5</v>
      </c>
      <c r="F7" s="160">
        <f t="shared" si="0"/>
        <v>1.3888888888888888E-2</v>
      </c>
      <c r="H7" s="86" t="s">
        <v>55</v>
      </c>
      <c r="I7" s="86" t="s">
        <v>56</v>
      </c>
      <c r="J7" s="86" t="s">
        <v>57</v>
      </c>
      <c r="K7" s="86" t="s">
        <v>58</v>
      </c>
      <c r="L7" s="86" t="s">
        <v>59</v>
      </c>
    </row>
    <row r="8" spans="1:12" ht="14.15" customHeight="1" x14ac:dyDescent="0.3">
      <c r="A8" s="192"/>
      <c r="B8" s="195"/>
      <c r="C8" s="195"/>
      <c r="D8" s="156" t="s">
        <v>60</v>
      </c>
      <c r="E8" s="155">
        <v>37.5</v>
      </c>
      <c r="F8" s="160">
        <f t="shared" si="0"/>
        <v>0.10416666666666667</v>
      </c>
      <c r="H8" s="94" t="s">
        <v>61</v>
      </c>
      <c r="I8" s="81">
        <f>E17/3600</f>
        <v>0.1</v>
      </c>
      <c r="J8" s="81">
        <v>5</v>
      </c>
      <c r="K8" s="81">
        <v>95</v>
      </c>
      <c r="L8" s="81">
        <f>_xlfn.FLOOR.MATH(I8*(J8+K8))</f>
        <v>10</v>
      </c>
    </row>
    <row r="9" spans="1:12" ht="15" customHeight="1" x14ac:dyDescent="0.25">
      <c r="A9" s="192"/>
      <c r="B9" s="195"/>
      <c r="C9" s="195"/>
      <c r="D9" s="156" t="s">
        <v>62</v>
      </c>
      <c r="E9" s="156">
        <v>37.5</v>
      </c>
      <c r="F9" s="160">
        <f t="shared" si="0"/>
        <v>0.10416666666666667</v>
      </c>
    </row>
    <row r="10" spans="1:12" ht="15" customHeight="1" x14ac:dyDescent="0.25">
      <c r="A10" s="192"/>
      <c r="B10" s="195"/>
      <c r="C10" s="195"/>
      <c r="D10" s="155" t="s">
        <v>63</v>
      </c>
      <c r="E10" s="155">
        <v>50</v>
      </c>
      <c r="F10" s="160">
        <f t="shared" si="0"/>
        <v>0.1388888888888889</v>
      </c>
    </row>
    <row r="11" spans="1:12" ht="15" customHeight="1" x14ac:dyDescent="0.25">
      <c r="A11" s="192"/>
      <c r="B11" s="195"/>
      <c r="C11" s="195"/>
      <c r="D11" s="156" t="s">
        <v>64</v>
      </c>
      <c r="E11" s="155">
        <v>12.5</v>
      </c>
      <c r="F11" s="160">
        <f t="shared" si="0"/>
        <v>3.4722222222222224E-2</v>
      </c>
    </row>
    <row r="12" spans="1:12" ht="15" customHeight="1" x14ac:dyDescent="0.25">
      <c r="A12" s="192"/>
      <c r="B12" s="195"/>
      <c r="C12" s="195"/>
      <c r="D12" s="156" t="s">
        <v>65</v>
      </c>
      <c r="E12" s="155">
        <v>12.5</v>
      </c>
      <c r="F12" s="160">
        <f t="shared" si="0"/>
        <v>3.4722222222222224E-2</v>
      </c>
    </row>
    <row r="13" spans="1:12" ht="15" customHeight="1" x14ac:dyDescent="0.25">
      <c r="A13" s="192"/>
      <c r="B13" s="195"/>
      <c r="C13" s="195"/>
      <c r="D13" s="156" t="s">
        <v>66</v>
      </c>
      <c r="E13" s="155">
        <v>12.5</v>
      </c>
      <c r="F13" s="160">
        <f t="shared" si="0"/>
        <v>3.4722222222222224E-2</v>
      </c>
    </row>
    <row r="14" spans="1:12" ht="15" customHeight="1" x14ac:dyDescent="0.25">
      <c r="A14" s="192"/>
      <c r="B14" s="195"/>
      <c r="C14" s="195"/>
      <c r="D14" s="156" t="s">
        <v>67</v>
      </c>
      <c r="E14" s="155">
        <v>12.5</v>
      </c>
      <c r="F14" s="160">
        <f t="shared" si="0"/>
        <v>3.4722222222222224E-2</v>
      </c>
    </row>
    <row r="15" spans="1:12" ht="15" customHeight="1" x14ac:dyDescent="0.25">
      <c r="A15" s="192"/>
      <c r="B15" s="195"/>
      <c r="C15" s="195"/>
      <c r="D15" s="155" t="s">
        <v>68</v>
      </c>
      <c r="E15" s="155">
        <v>15</v>
      </c>
      <c r="F15" s="160">
        <f t="shared" si="0"/>
        <v>4.1666666666666664E-2</v>
      </c>
    </row>
    <row r="16" spans="1:12" ht="15" customHeight="1" x14ac:dyDescent="0.3">
      <c r="A16" s="192"/>
      <c r="B16" s="195"/>
      <c r="C16" s="195"/>
      <c r="D16" s="156" t="s">
        <v>69</v>
      </c>
      <c r="E16" s="156">
        <v>25</v>
      </c>
      <c r="F16" s="160">
        <f t="shared" si="0"/>
        <v>6.9444444444444448E-2</v>
      </c>
      <c r="H16" s="144"/>
      <c r="I16" s="17"/>
      <c r="J16" s="17"/>
      <c r="K16" s="17"/>
      <c r="L16" s="17"/>
    </row>
    <row r="17" spans="1:6" ht="13" x14ac:dyDescent="0.3">
      <c r="A17" s="193"/>
      <c r="B17" s="196"/>
      <c r="C17" s="196"/>
      <c r="D17" s="82" t="s">
        <v>70</v>
      </c>
      <c r="E17" s="83">
        <f>SUM(E2:E16)</f>
        <v>360</v>
      </c>
      <c r="F17" s="84">
        <f>SUM(F2:F16)</f>
        <v>0.99999999999999989</v>
      </c>
    </row>
    <row r="19" spans="1:6" ht="12.5" x14ac:dyDescent="0.25">
      <c r="D19" s="161"/>
    </row>
    <row r="20" spans="1:6" ht="12.5" x14ac:dyDescent="0.25">
      <c r="D20" s="76" t="s">
        <v>71</v>
      </c>
      <c r="E20" s="85">
        <v>1</v>
      </c>
      <c r="F20" s="75">
        <f>E17*1</f>
        <v>360</v>
      </c>
    </row>
    <row r="21" spans="1:6" ht="12.5" x14ac:dyDescent="0.25"/>
  </sheetData>
  <mergeCells count="3">
    <mergeCell ref="A2:A17"/>
    <mergeCell ref="B2:B17"/>
    <mergeCell ref="C2:C17"/>
  </mergeCells>
  <phoneticPr fontId="3"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C178-FBC2-42BB-9AF4-495F43E75F06}">
  <sheetPr codeName="Sheet5">
    <tabColor theme="5" tint="0.59999389629810485"/>
  </sheetPr>
  <dimension ref="A1:BP372"/>
  <sheetViews>
    <sheetView zoomScaleNormal="100" workbookViewId="0">
      <selection activeCell="G19" sqref="G19"/>
    </sheetView>
  </sheetViews>
  <sheetFormatPr defaultColWidth="8.81640625" defaultRowHeight="12.5" x14ac:dyDescent="0.25"/>
  <cols>
    <col min="1" max="1" width="8.81640625" style="17"/>
    <col min="2" max="2" width="4.1796875" customWidth="1"/>
    <col min="3" max="3" width="34.1796875" customWidth="1"/>
    <col min="4" max="4" width="11.7265625" customWidth="1"/>
    <col min="5" max="5" width="12.26953125" bestFit="1" customWidth="1"/>
    <col min="6" max="7" width="11.7265625" customWidth="1"/>
    <col min="8" max="8" width="5.26953125" customWidth="1"/>
    <col min="9" max="9" width="9.1796875" style="17"/>
    <col min="10" max="10" width="53.453125" bestFit="1" customWidth="1"/>
    <col min="14" max="14" width="4.81640625" customWidth="1"/>
    <col min="15" max="15" width="51.453125" bestFit="1" customWidth="1"/>
    <col min="18" max="18" width="9.453125" customWidth="1"/>
    <col min="19" max="19" width="4.81640625" customWidth="1"/>
    <col min="20" max="20" width="43.7265625" style="17" customWidth="1"/>
    <col min="21" max="37" width="9.1796875" style="17"/>
    <col min="38" max="68" width="8.81640625" style="17"/>
  </cols>
  <sheetData>
    <row r="1" spans="2:23" s="17" customFormat="1" x14ac:dyDescent="0.25"/>
    <row r="2" spans="2:23" ht="21.75" customHeight="1" x14ac:dyDescent="0.35">
      <c r="B2" s="140" t="s">
        <v>13</v>
      </c>
      <c r="C2" s="141" t="s">
        <v>72</v>
      </c>
      <c r="D2" s="142" t="s">
        <v>73</v>
      </c>
      <c r="E2" s="142" t="s">
        <v>74</v>
      </c>
      <c r="F2" s="142" t="s">
        <v>75</v>
      </c>
      <c r="G2" s="142" t="s">
        <v>76</v>
      </c>
      <c r="J2" s="200" t="s">
        <v>77</v>
      </c>
      <c r="K2" s="200"/>
      <c r="L2" s="200"/>
      <c r="M2" s="200"/>
      <c r="N2" s="17"/>
      <c r="O2" s="200" t="s">
        <v>77</v>
      </c>
      <c r="P2" s="200"/>
      <c r="Q2" s="200"/>
      <c r="R2" s="200"/>
      <c r="S2" s="123"/>
      <c r="T2" s="200" t="s">
        <v>77</v>
      </c>
      <c r="U2" s="200"/>
      <c r="V2" s="200"/>
      <c r="W2" s="200"/>
    </row>
    <row r="3" spans="2:23" ht="14.5" x14ac:dyDescent="0.35">
      <c r="B3" s="140"/>
      <c r="C3" s="65" t="s">
        <v>45</v>
      </c>
      <c r="D3" s="65" t="s">
        <v>46</v>
      </c>
      <c r="E3" s="104" t="s">
        <v>78</v>
      </c>
      <c r="F3" s="105" t="s">
        <v>79</v>
      </c>
      <c r="G3" s="106" t="s">
        <v>80</v>
      </c>
      <c r="H3" s="123"/>
      <c r="J3" s="197" t="s">
        <v>81</v>
      </c>
      <c r="K3" s="198"/>
      <c r="L3" s="198"/>
      <c r="M3" s="199"/>
      <c r="N3" s="123"/>
      <c r="O3" s="197" t="s">
        <v>82</v>
      </c>
      <c r="P3" s="198"/>
      <c r="Q3" s="198"/>
      <c r="R3" s="199"/>
      <c r="S3" s="123"/>
      <c r="T3" s="145" t="s">
        <v>83</v>
      </c>
      <c r="U3" s="146"/>
      <c r="V3" s="146"/>
      <c r="W3" s="147"/>
    </row>
    <row r="4" spans="2:23" ht="14.5" x14ac:dyDescent="0.35">
      <c r="B4" s="155">
        <v>1</v>
      </c>
      <c r="C4" s="155" t="s">
        <v>50</v>
      </c>
      <c r="D4" s="81">
        <f>'Business Scenario'!E2</f>
        <v>75</v>
      </c>
      <c r="E4" s="162">
        <f>'Business Scenario'!F2</f>
        <v>0.20833333333333334</v>
      </c>
      <c r="F4" s="138">
        <f>M20</f>
        <v>0.20800000000000007</v>
      </c>
      <c r="G4" s="138">
        <f t="shared" ref="G4:G18" si="0">F4-E4</f>
        <v>-3.3333333333326887E-4</v>
      </c>
      <c r="H4" s="123"/>
      <c r="J4" s="95" t="s">
        <v>84</v>
      </c>
      <c r="K4" s="96" t="s">
        <v>85</v>
      </c>
      <c r="L4" s="96" t="s">
        <v>86</v>
      </c>
      <c r="M4" s="96" t="s">
        <v>87</v>
      </c>
      <c r="N4" s="123"/>
      <c r="O4" s="121" t="s">
        <v>84</v>
      </c>
      <c r="P4" s="122" t="s">
        <v>85</v>
      </c>
      <c r="Q4" s="122" t="s">
        <v>86</v>
      </c>
      <c r="R4" s="122" t="s">
        <v>87</v>
      </c>
      <c r="S4" s="123"/>
      <c r="T4" s="95" t="s">
        <v>84</v>
      </c>
      <c r="U4" s="96" t="s">
        <v>85</v>
      </c>
      <c r="V4" s="96" t="s">
        <v>86</v>
      </c>
      <c r="W4" s="96" t="s">
        <v>87</v>
      </c>
    </row>
    <row r="5" spans="2:23" ht="14.5" x14ac:dyDescent="0.35">
      <c r="B5" s="156">
        <v>2</v>
      </c>
      <c r="C5" s="156" t="s">
        <v>51</v>
      </c>
      <c r="D5" s="81">
        <f>'Business Scenario'!E3</f>
        <v>50</v>
      </c>
      <c r="E5" s="162">
        <f>'Business Scenario'!F3</f>
        <v>0.1388888888888889</v>
      </c>
      <c r="F5" s="138">
        <f>R29</f>
        <v>0.13900000000000004</v>
      </c>
      <c r="G5" s="138">
        <f t="shared" si="0"/>
        <v>1.1111111111114513E-4</v>
      </c>
      <c r="H5" s="123"/>
      <c r="J5" s="126" t="s">
        <v>88</v>
      </c>
      <c r="K5" s="97">
        <v>1</v>
      </c>
      <c r="L5" s="98">
        <v>0.02</v>
      </c>
      <c r="M5" s="98">
        <f t="shared" ref="M5:M19" si="1">K5*L5</f>
        <v>0.02</v>
      </c>
      <c r="N5" s="123"/>
      <c r="O5" s="126" t="s">
        <v>88</v>
      </c>
      <c r="P5" s="128">
        <v>1</v>
      </c>
      <c r="Q5" s="129">
        <v>8.9999999999999993E-3</v>
      </c>
      <c r="R5" s="129">
        <f>P5*Q5</f>
        <v>8.9999999999999993E-3</v>
      </c>
      <c r="S5" s="123"/>
      <c r="T5" s="126" t="s">
        <v>88</v>
      </c>
      <c r="U5" s="97">
        <v>1</v>
      </c>
      <c r="V5" s="98">
        <v>3.0000000000000001E-3</v>
      </c>
      <c r="W5" s="98">
        <f>U5*V5</f>
        <v>3.0000000000000001E-3</v>
      </c>
    </row>
    <row r="6" spans="2:23" ht="14.5" x14ac:dyDescent="0.35">
      <c r="B6" s="155">
        <v>3</v>
      </c>
      <c r="C6" s="155" t="s">
        <v>52</v>
      </c>
      <c r="D6" s="81">
        <f>'Business Scenario'!E4</f>
        <v>10</v>
      </c>
      <c r="E6" s="162">
        <f>'Business Scenario'!F4</f>
        <v>2.7777777777777776E-2</v>
      </c>
      <c r="F6" s="138">
        <f>W20</f>
        <v>2.8000000000000001E-2</v>
      </c>
      <c r="G6" s="138">
        <f t="shared" si="0"/>
        <v>2.2222222222222435E-4</v>
      </c>
      <c r="H6" s="123"/>
      <c r="J6" s="126" t="s">
        <v>89</v>
      </c>
      <c r="K6" s="97">
        <v>1</v>
      </c>
      <c r="L6" s="98">
        <v>0.02</v>
      </c>
      <c r="M6" s="98">
        <f t="shared" si="1"/>
        <v>0.02</v>
      </c>
      <c r="N6" s="123"/>
      <c r="O6" s="126" t="s">
        <v>89</v>
      </c>
      <c r="P6" s="128">
        <v>1</v>
      </c>
      <c r="Q6" s="129">
        <v>8.9999999999999993E-3</v>
      </c>
      <c r="R6" s="129">
        <f t="shared" ref="R6:R28" si="2">P6*Q6</f>
        <v>8.9999999999999993E-3</v>
      </c>
      <c r="S6" s="123"/>
      <c r="T6" s="126" t="s">
        <v>89</v>
      </c>
      <c r="U6" s="97">
        <v>1</v>
      </c>
      <c r="V6" s="98">
        <v>2.8999999999999998E-3</v>
      </c>
      <c r="W6" s="98">
        <f t="shared" ref="W6:W19" si="3">U6*V6</f>
        <v>2.8999999999999998E-3</v>
      </c>
    </row>
    <row r="7" spans="2:23" ht="14.5" x14ac:dyDescent="0.35">
      <c r="B7" s="156">
        <v>4</v>
      </c>
      <c r="C7" s="156" t="s">
        <v>53</v>
      </c>
      <c r="D7" s="81">
        <f>'Business Scenario'!E5</f>
        <v>2.5</v>
      </c>
      <c r="E7" s="162">
        <f>'Business Scenario'!F5</f>
        <v>6.9444444444444441E-3</v>
      </c>
      <c r="F7" s="138">
        <f>M51</f>
        <v>7.0000000000000019E-3</v>
      </c>
      <c r="G7" s="138">
        <f>F7-E7</f>
        <v>5.5555555555557821E-5</v>
      </c>
      <c r="H7" s="123"/>
      <c r="J7" s="126" t="s">
        <v>90</v>
      </c>
      <c r="K7" s="97">
        <v>1</v>
      </c>
      <c r="L7" s="98">
        <v>0.02</v>
      </c>
      <c r="M7" s="98">
        <f t="shared" si="1"/>
        <v>0.02</v>
      </c>
      <c r="N7" s="123"/>
      <c r="O7" s="126" t="s">
        <v>90</v>
      </c>
      <c r="P7" s="128">
        <v>1</v>
      </c>
      <c r="Q7" s="129">
        <v>8.9999999999999993E-3</v>
      </c>
      <c r="R7" s="129">
        <f t="shared" si="2"/>
        <v>8.9999999999999993E-3</v>
      </c>
      <c r="S7" s="123"/>
      <c r="T7" s="126" t="s">
        <v>90</v>
      </c>
      <c r="U7" s="97">
        <v>1</v>
      </c>
      <c r="V7" s="98">
        <v>1.6999999999999999E-3</v>
      </c>
      <c r="W7" s="98">
        <f t="shared" si="3"/>
        <v>1.6999999999999999E-3</v>
      </c>
    </row>
    <row r="8" spans="2:23" ht="14.5" x14ac:dyDescent="0.35">
      <c r="B8" s="156">
        <v>5</v>
      </c>
      <c r="C8" s="156" t="s">
        <v>53</v>
      </c>
      <c r="D8" s="81">
        <f>'Business Scenario'!E6</f>
        <v>2.5</v>
      </c>
      <c r="E8" s="162">
        <f>'Business Scenario'!F6</f>
        <v>6.9444444444444441E-3</v>
      </c>
      <c r="F8" s="138">
        <f>R52</f>
        <v>7.0000000000000019E-3</v>
      </c>
      <c r="G8" s="138">
        <f t="shared" ref="G8:G9" si="4">F8-E8</f>
        <v>5.5555555555557821E-5</v>
      </c>
      <c r="H8" s="123"/>
      <c r="J8" s="126" t="s">
        <v>91</v>
      </c>
      <c r="K8" s="97">
        <v>1</v>
      </c>
      <c r="L8" s="98">
        <v>0.02</v>
      </c>
      <c r="M8" s="98">
        <f t="shared" si="1"/>
        <v>0.02</v>
      </c>
      <c r="N8" s="123"/>
      <c r="O8" s="126" t="s">
        <v>92</v>
      </c>
      <c r="P8" s="128">
        <v>1</v>
      </c>
      <c r="Q8" s="129">
        <v>8.9999999999999993E-3</v>
      </c>
      <c r="R8" s="129">
        <f t="shared" si="2"/>
        <v>8.9999999999999993E-3</v>
      </c>
      <c r="S8" s="123"/>
      <c r="T8" s="126" t="s">
        <v>93</v>
      </c>
      <c r="U8" s="97">
        <v>1</v>
      </c>
      <c r="V8" s="98">
        <v>1.6999999999999999E-3</v>
      </c>
      <c r="W8" s="98">
        <f t="shared" si="3"/>
        <v>1.6999999999999999E-3</v>
      </c>
    </row>
    <row r="9" spans="2:23" ht="14.5" x14ac:dyDescent="0.35">
      <c r="B9" s="156">
        <v>6</v>
      </c>
      <c r="C9" s="155" t="s">
        <v>54</v>
      </c>
      <c r="D9" s="81">
        <f>'Business Scenario'!E7</f>
        <v>5</v>
      </c>
      <c r="E9" s="162">
        <f>'Business Scenario'!F7</f>
        <v>1.3888888888888888E-2</v>
      </c>
      <c r="F9" s="138">
        <f>W43</f>
        <v>1.4000000000000002E-2</v>
      </c>
      <c r="G9" s="138">
        <f t="shared" si="4"/>
        <v>1.1111111111111391E-4</v>
      </c>
      <c r="H9" s="123"/>
      <c r="J9" s="126" t="s">
        <v>94</v>
      </c>
      <c r="K9" s="97">
        <v>1</v>
      </c>
      <c r="L9" s="98">
        <v>0.02</v>
      </c>
      <c r="M9" s="98">
        <f t="shared" si="1"/>
        <v>0.02</v>
      </c>
      <c r="N9" s="123"/>
      <c r="O9" s="126" t="s">
        <v>91</v>
      </c>
      <c r="P9" s="128">
        <v>1</v>
      </c>
      <c r="Q9" s="129">
        <v>8.0000000000000002E-3</v>
      </c>
      <c r="R9" s="129">
        <f t="shared" si="2"/>
        <v>8.0000000000000002E-3</v>
      </c>
      <c r="S9" s="123"/>
      <c r="T9" s="126" t="s">
        <v>95</v>
      </c>
      <c r="U9" s="97">
        <v>1</v>
      </c>
      <c r="V9" s="98">
        <v>1.6999999999999999E-3</v>
      </c>
      <c r="W9" s="98">
        <f t="shared" si="3"/>
        <v>1.6999999999999999E-3</v>
      </c>
    </row>
    <row r="10" spans="2:23" ht="14.5" x14ac:dyDescent="0.35">
      <c r="B10" s="156">
        <v>7</v>
      </c>
      <c r="C10" s="156" t="s">
        <v>60</v>
      </c>
      <c r="D10" s="81">
        <f>'Business Scenario'!E8</f>
        <v>37.5</v>
      </c>
      <c r="E10" s="162">
        <f>'Business Scenario'!F8</f>
        <v>0.10416666666666667</v>
      </c>
      <c r="F10" s="138">
        <f>M69</f>
        <v>0.10400000000000004</v>
      </c>
      <c r="G10" s="138">
        <f t="shared" si="0"/>
        <v>-1.6666666666663443E-4</v>
      </c>
      <c r="H10" s="123"/>
      <c r="J10" s="164" t="s">
        <v>96</v>
      </c>
      <c r="K10" s="97">
        <v>1</v>
      </c>
      <c r="L10" s="98">
        <v>1.7999999999999999E-2</v>
      </c>
      <c r="M10" s="98">
        <f t="shared" si="1"/>
        <v>1.7999999999999999E-2</v>
      </c>
      <c r="N10" s="123"/>
      <c r="O10" s="126" t="s">
        <v>97</v>
      </c>
      <c r="P10" s="128">
        <v>1</v>
      </c>
      <c r="Q10" s="129">
        <v>5.0000000000000001E-3</v>
      </c>
      <c r="R10" s="129">
        <f t="shared" si="2"/>
        <v>5.0000000000000001E-3</v>
      </c>
      <c r="S10" s="123"/>
      <c r="T10" s="126" t="s">
        <v>98</v>
      </c>
      <c r="U10" s="97">
        <v>1</v>
      </c>
      <c r="V10" s="98">
        <v>1.6999999999999999E-3</v>
      </c>
      <c r="W10" s="98">
        <f t="shared" si="3"/>
        <v>1.6999999999999999E-3</v>
      </c>
    </row>
    <row r="11" spans="2:23" ht="14.5" x14ac:dyDescent="0.35">
      <c r="B11" s="156">
        <v>8</v>
      </c>
      <c r="C11" s="156" t="s">
        <v>62</v>
      </c>
      <c r="D11" s="81">
        <f>'Business Scenario'!E9</f>
        <v>37.5</v>
      </c>
      <c r="E11" s="162">
        <f>'Business Scenario'!F9</f>
        <v>0.10416666666666667</v>
      </c>
      <c r="F11" s="138">
        <f>R68</f>
        <v>0.10399999999999998</v>
      </c>
      <c r="G11" s="138">
        <f t="shared" si="0"/>
        <v>-1.6666666666668994E-4</v>
      </c>
      <c r="H11" s="123"/>
      <c r="J11" s="126" t="s">
        <v>99</v>
      </c>
      <c r="K11" s="97">
        <v>1</v>
      </c>
      <c r="L11" s="98">
        <v>0.01</v>
      </c>
      <c r="M11" s="98">
        <f t="shared" si="1"/>
        <v>0.01</v>
      </c>
      <c r="N11" s="123"/>
      <c r="O11" s="126" t="s">
        <v>100</v>
      </c>
      <c r="P11" s="128">
        <v>1</v>
      </c>
      <c r="Q11" s="129">
        <v>5.0000000000000001E-3</v>
      </c>
      <c r="R11" s="129">
        <f t="shared" si="2"/>
        <v>5.0000000000000001E-3</v>
      </c>
      <c r="S11" s="123"/>
      <c r="T11" s="126" t="s">
        <v>101</v>
      </c>
      <c r="U11" s="97">
        <v>1</v>
      </c>
      <c r="V11" s="98">
        <v>1.6999999999999999E-3</v>
      </c>
      <c r="W11" s="98">
        <f t="shared" si="3"/>
        <v>1.6999999999999999E-3</v>
      </c>
    </row>
    <row r="12" spans="2:23" ht="14.5" x14ac:dyDescent="0.35">
      <c r="B12" s="156">
        <v>9</v>
      </c>
      <c r="C12" s="155" t="s">
        <v>63</v>
      </c>
      <c r="D12" s="81">
        <f>'Business Scenario'!E10</f>
        <v>50</v>
      </c>
      <c r="E12" s="162">
        <f>'Business Scenario'!F10</f>
        <v>0.1388888888888889</v>
      </c>
      <c r="F12" s="138">
        <f>W69</f>
        <v>0.13899999999999998</v>
      </c>
      <c r="G12" s="138">
        <f t="shared" si="0"/>
        <v>1.1111111111108962E-4</v>
      </c>
      <c r="H12" s="123"/>
      <c r="J12" s="164" t="s">
        <v>102</v>
      </c>
      <c r="K12" s="97">
        <v>1</v>
      </c>
      <c r="L12" s="98">
        <v>0.01</v>
      </c>
      <c r="M12" s="98">
        <f t="shared" si="1"/>
        <v>0.01</v>
      </c>
      <c r="N12" s="123"/>
      <c r="O12" s="126" t="s">
        <v>103</v>
      </c>
      <c r="P12" s="128">
        <v>1</v>
      </c>
      <c r="Q12" s="129">
        <v>5.0000000000000001E-3</v>
      </c>
      <c r="R12" s="129">
        <f t="shared" si="2"/>
        <v>5.0000000000000001E-3</v>
      </c>
      <c r="S12" s="123"/>
      <c r="T12" s="126" t="s">
        <v>104</v>
      </c>
      <c r="U12" s="97">
        <v>1</v>
      </c>
      <c r="V12" s="98">
        <v>1.6999999999999999E-3</v>
      </c>
      <c r="W12" s="98">
        <f t="shared" si="3"/>
        <v>1.6999999999999999E-3</v>
      </c>
    </row>
    <row r="13" spans="2:23" ht="14.5" x14ac:dyDescent="0.35">
      <c r="B13" s="156">
        <v>10</v>
      </c>
      <c r="C13" s="156" t="s">
        <v>64</v>
      </c>
      <c r="D13" s="81">
        <f>'Business Scenario'!E11</f>
        <v>12.5</v>
      </c>
      <c r="E13" s="162">
        <f>'Business Scenario'!F11</f>
        <v>3.4722222222222224E-2</v>
      </c>
      <c r="F13" s="138">
        <f>M86</f>
        <v>3.4999999999999996E-2</v>
      </c>
      <c r="G13" s="138">
        <f t="shared" si="0"/>
        <v>2.7777777777777263E-4</v>
      </c>
      <c r="H13" s="123"/>
      <c r="J13" s="164" t="s">
        <v>105</v>
      </c>
      <c r="K13" s="97">
        <v>1</v>
      </c>
      <c r="L13" s="98">
        <v>0.01</v>
      </c>
      <c r="M13" s="98">
        <f t="shared" si="1"/>
        <v>0.01</v>
      </c>
      <c r="N13" s="123"/>
      <c r="O13" s="126" t="s">
        <v>106</v>
      </c>
      <c r="P13" s="128">
        <v>1</v>
      </c>
      <c r="Q13" s="129">
        <v>5.0000000000000001E-3</v>
      </c>
      <c r="R13" s="129">
        <f t="shared" si="2"/>
        <v>5.0000000000000001E-3</v>
      </c>
      <c r="S13" s="123"/>
      <c r="T13" s="126" t="s">
        <v>107</v>
      </c>
      <c r="U13" s="97">
        <v>1</v>
      </c>
      <c r="V13" s="98">
        <v>1.6999999999999999E-3</v>
      </c>
      <c r="W13" s="98">
        <f t="shared" si="3"/>
        <v>1.6999999999999999E-3</v>
      </c>
    </row>
    <row r="14" spans="2:23" ht="14.5" x14ac:dyDescent="0.35">
      <c r="B14" s="156">
        <v>11</v>
      </c>
      <c r="C14" s="156" t="s">
        <v>65</v>
      </c>
      <c r="D14" s="81">
        <f>'Business Scenario'!E12</f>
        <v>12.5</v>
      </c>
      <c r="E14" s="162">
        <f>'Business Scenario'!F12</f>
        <v>3.4722222222222224E-2</v>
      </c>
      <c r="F14" s="138">
        <f>R86</f>
        <v>3.4999999999999996E-2</v>
      </c>
      <c r="G14" s="138">
        <f t="shared" si="0"/>
        <v>2.7777777777777263E-4</v>
      </c>
      <c r="H14" s="123"/>
      <c r="J14" s="126" t="s">
        <v>108</v>
      </c>
      <c r="K14" s="97">
        <v>1</v>
      </c>
      <c r="L14" s="98">
        <v>0.01</v>
      </c>
      <c r="M14" s="98">
        <f t="shared" si="1"/>
        <v>0.01</v>
      </c>
      <c r="N14" s="123"/>
      <c r="O14" s="126" t="s">
        <v>109</v>
      </c>
      <c r="P14" s="128">
        <v>1</v>
      </c>
      <c r="Q14" s="129">
        <v>5.0000000000000001E-3</v>
      </c>
      <c r="R14" s="129">
        <f t="shared" si="2"/>
        <v>5.0000000000000001E-3</v>
      </c>
      <c r="S14" s="123"/>
      <c r="T14" s="126" t="s">
        <v>110</v>
      </c>
      <c r="U14" s="97">
        <v>1</v>
      </c>
      <c r="V14" s="98">
        <v>1.6999999999999999E-3</v>
      </c>
      <c r="W14" s="98">
        <f t="shared" si="3"/>
        <v>1.6999999999999999E-3</v>
      </c>
    </row>
    <row r="15" spans="2:23" ht="14.5" x14ac:dyDescent="0.35">
      <c r="B15" s="156">
        <v>12</v>
      </c>
      <c r="C15" s="156" t="s">
        <v>66</v>
      </c>
      <c r="D15" s="81">
        <f>'Business Scenario'!E13</f>
        <v>12.5</v>
      </c>
      <c r="E15" s="162">
        <f>'Business Scenario'!F13</f>
        <v>3.4722222222222224E-2</v>
      </c>
      <c r="F15" s="138">
        <f>W86</f>
        <v>3.4999999999999996E-2</v>
      </c>
      <c r="G15" s="138">
        <f t="shared" si="0"/>
        <v>2.7777777777777263E-4</v>
      </c>
      <c r="H15" s="123"/>
      <c r="J15" s="126" t="s">
        <v>111</v>
      </c>
      <c r="K15" s="97">
        <v>1</v>
      </c>
      <c r="L15" s="98">
        <v>0.01</v>
      </c>
      <c r="M15" s="98">
        <f t="shared" si="1"/>
        <v>0.01</v>
      </c>
      <c r="N15" s="123"/>
      <c r="O15" s="126" t="s">
        <v>112</v>
      </c>
      <c r="P15" s="128">
        <v>1</v>
      </c>
      <c r="Q15" s="129">
        <v>5.0000000000000001E-3</v>
      </c>
      <c r="R15" s="129">
        <f t="shared" si="2"/>
        <v>5.0000000000000001E-3</v>
      </c>
      <c r="S15" s="123"/>
      <c r="T15" s="126" t="s">
        <v>113</v>
      </c>
      <c r="U15" s="97">
        <v>1</v>
      </c>
      <c r="V15" s="98">
        <v>1.6999999999999999E-3</v>
      </c>
      <c r="W15" s="98">
        <f t="shared" si="3"/>
        <v>1.6999999999999999E-3</v>
      </c>
    </row>
    <row r="16" spans="2:23" ht="14.5" x14ac:dyDescent="0.35">
      <c r="B16" s="156">
        <v>13</v>
      </c>
      <c r="C16" s="156" t="s">
        <v>67</v>
      </c>
      <c r="D16" s="81">
        <f>'Business Scenario'!E14</f>
        <v>12.5</v>
      </c>
      <c r="E16" s="162">
        <f>'Business Scenario'!F14</f>
        <v>3.4722222222222224E-2</v>
      </c>
      <c r="F16" s="138">
        <f>M104</f>
        <v>3.4999999999999996E-2</v>
      </c>
      <c r="G16" s="138">
        <f t="shared" si="0"/>
        <v>2.7777777777777263E-4</v>
      </c>
      <c r="H16" s="123"/>
      <c r="J16" s="126" t="s">
        <v>114</v>
      </c>
      <c r="K16" s="97">
        <v>1</v>
      </c>
      <c r="L16" s="98">
        <v>0.01</v>
      </c>
      <c r="M16" s="98">
        <f t="shared" si="1"/>
        <v>0.01</v>
      </c>
      <c r="N16" s="123"/>
      <c r="O16" s="126" t="s">
        <v>115</v>
      </c>
      <c r="P16" s="128">
        <v>1</v>
      </c>
      <c r="Q16" s="129">
        <v>5.0000000000000001E-3</v>
      </c>
      <c r="R16" s="129">
        <f t="shared" si="2"/>
        <v>5.0000000000000001E-3</v>
      </c>
      <c r="S16" s="123"/>
      <c r="T16" s="126" t="s">
        <v>116</v>
      </c>
      <c r="U16" s="97">
        <v>1</v>
      </c>
      <c r="V16" s="98">
        <v>1.6999999999999999E-3</v>
      </c>
      <c r="W16" s="98">
        <f t="shared" si="3"/>
        <v>1.6999999999999999E-3</v>
      </c>
    </row>
    <row r="17" spans="2:23" ht="14.5" x14ac:dyDescent="0.35">
      <c r="B17" s="156">
        <v>14</v>
      </c>
      <c r="C17" s="155" t="s">
        <v>68</v>
      </c>
      <c r="D17" s="81">
        <f>'Business Scenario'!E15</f>
        <v>15</v>
      </c>
      <c r="E17" s="162">
        <f>'Business Scenario'!F15</f>
        <v>4.1666666666666664E-2</v>
      </c>
      <c r="F17" s="138">
        <f>R108</f>
        <v>4.200000000000001E-2</v>
      </c>
      <c r="G17" s="138">
        <f t="shared" si="0"/>
        <v>3.3333333333334519E-4</v>
      </c>
      <c r="H17" s="123"/>
      <c r="J17" s="126" t="s">
        <v>117</v>
      </c>
      <c r="K17" s="97">
        <v>1</v>
      </c>
      <c r="L17" s="98">
        <v>0.01</v>
      </c>
      <c r="M17" s="98">
        <f t="shared" si="1"/>
        <v>0.01</v>
      </c>
      <c r="N17" s="123"/>
      <c r="O17" s="126" t="s">
        <v>118</v>
      </c>
      <c r="P17" s="128">
        <v>1</v>
      </c>
      <c r="Q17" s="129">
        <v>5.0000000000000001E-3</v>
      </c>
      <c r="R17" s="129">
        <f t="shared" si="2"/>
        <v>5.0000000000000001E-3</v>
      </c>
      <c r="S17" s="123"/>
      <c r="T17" s="126" t="s">
        <v>119</v>
      </c>
      <c r="U17" s="97">
        <v>1</v>
      </c>
      <c r="V17" s="98">
        <v>1.6999999999999999E-3</v>
      </c>
      <c r="W17" s="98">
        <f t="shared" si="3"/>
        <v>1.6999999999999999E-3</v>
      </c>
    </row>
    <row r="18" spans="2:23" ht="14.5" x14ac:dyDescent="0.35">
      <c r="B18" s="156">
        <v>15</v>
      </c>
      <c r="C18" s="156" t="s">
        <v>69</v>
      </c>
      <c r="D18" s="81">
        <f>'Business Scenario'!E16</f>
        <v>25</v>
      </c>
      <c r="E18" s="162">
        <f>'Business Scenario'!F16</f>
        <v>6.9444444444444448E-2</v>
      </c>
      <c r="F18" s="138">
        <f>W102</f>
        <v>6.900000000000002E-2</v>
      </c>
      <c r="G18" s="138">
        <f t="shared" si="0"/>
        <v>-4.4444444444442788E-4</v>
      </c>
      <c r="H18" s="123"/>
      <c r="J18" s="126" t="s">
        <v>120</v>
      </c>
      <c r="K18" s="97">
        <v>1</v>
      </c>
      <c r="L18" s="98">
        <v>0.01</v>
      </c>
      <c r="M18" s="98">
        <f t="shared" si="1"/>
        <v>0.01</v>
      </c>
      <c r="N18" s="123"/>
      <c r="O18" s="126" t="s">
        <v>121</v>
      </c>
      <c r="P18" s="128">
        <v>1</v>
      </c>
      <c r="Q18" s="129">
        <v>5.0000000000000001E-3</v>
      </c>
      <c r="R18" s="129">
        <f t="shared" si="2"/>
        <v>5.0000000000000001E-3</v>
      </c>
      <c r="S18" s="123"/>
      <c r="T18" s="126" t="s">
        <v>122</v>
      </c>
      <c r="U18" s="97">
        <v>1</v>
      </c>
      <c r="V18" s="98">
        <v>1.6999999999999999E-3</v>
      </c>
      <c r="W18" s="98">
        <f t="shared" si="3"/>
        <v>1.6999999999999999E-3</v>
      </c>
    </row>
    <row r="19" spans="2:23" ht="14.5" x14ac:dyDescent="0.35">
      <c r="C19" s="82" t="s">
        <v>70</v>
      </c>
      <c r="D19" s="83">
        <f>SUM(D4:D18)</f>
        <v>360</v>
      </c>
      <c r="E19" s="84">
        <f>SUM(E4:E18)</f>
        <v>0.99999999999999989</v>
      </c>
      <c r="F19" s="103"/>
      <c r="G19" s="103"/>
      <c r="H19" s="123"/>
      <c r="J19" s="126" t="s">
        <v>123</v>
      </c>
      <c r="K19" s="99">
        <v>1</v>
      </c>
      <c r="L19" s="98">
        <v>0.01</v>
      </c>
      <c r="M19" s="98">
        <f t="shared" si="1"/>
        <v>0.01</v>
      </c>
      <c r="N19" s="123"/>
      <c r="O19" s="126" t="s">
        <v>124</v>
      </c>
      <c r="P19" s="128">
        <v>1</v>
      </c>
      <c r="Q19" s="129">
        <v>5.0000000000000001E-3</v>
      </c>
      <c r="R19" s="129">
        <f t="shared" si="2"/>
        <v>5.0000000000000001E-3</v>
      </c>
      <c r="S19" s="123"/>
      <c r="T19" s="126" t="s">
        <v>123</v>
      </c>
      <c r="U19" s="97">
        <v>1</v>
      </c>
      <c r="V19" s="98">
        <v>1.6999999999999999E-3</v>
      </c>
      <c r="W19" s="98">
        <f t="shared" si="3"/>
        <v>1.6999999999999999E-3</v>
      </c>
    </row>
    <row r="20" spans="2:23" ht="14.5" x14ac:dyDescent="0.35">
      <c r="B20" s="17"/>
      <c r="C20" s="17"/>
      <c r="D20" s="17"/>
      <c r="E20" s="17"/>
      <c r="F20" s="17"/>
      <c r="G20" s="17"/>
      <c r="H20" s="123"/>
      <c r="J20" s="148"/>
      <c r="K20" s="152">
        <f>SUM(K5:K19)</f>
        <v>15</v>
      </c>
      <c r="L20" s="123"/>
      <c r="M20" s="102">
        <f>SUM(M5:M19)</f>
        <v>0.20800000000000007</v>
      </c>
      <c r="N20" s="123"/>
      <c r="O20" s="126" t="s">
        <v>125</v>
      </c>
      <c r="P20" s="128">
        <v>1</v>
      </c>
      <c r="Q20" s="129">
        <v>5.0000000000000001E-3</v>
      </c>
      <c r="R20" s="129">
        <f t="shared" si="2"/>
        <v>5.0000000000000001E-3</v>
      </c>
      <c r="S20" s="123"/>
      <c r="T20" s="123"/>
      <c r="U20" s="101">
        <f>SUM(U5:U19)</f>
        <v>15</v>
      </c>
      <c r="V20" s="100"/>
      <c r="W20" s="102">
        <f>SUM(W5:W19)</f>
        <v>2.8000000000000001E-2</v>
      </c>
    </row>
    <row r="21" spans="2:23" ht="14.5" x14ac:dyDescent="0.35">
      <c r="B21" s="17"/>
      <c r="C21" s="17"/>
      <c r="D21" s="17"/>
      <c r="E21" s="17"/>
      <c r="F21" s="17"/>
      <c r="G21" s="17"/>
      <c r="H21" s="123"/>
      <c r="J21" s="17"/>
      <c r="K21" s="17"/>
      <c r="L21" s="17"/>
      <c r="M21" s="17"/>
      <c r="N21" s="123"/>
      <c r="O21" s="126" t="s">
        <v>126</v>
      </c>
      <c r="P21" s="128">
        <v>1</v>
      </c>
      <c r="Q21" s="129">
        <v>5.0000000000000001E-3</v>
      </c>
      <c r="R21" s="129">
        <f t="shared" si="2"/>
        <v>5.0000000000000001E-3</v>
      </c>
      <c r="S21" s="123"/>
    </row>
    <row r="22" spans="2:23" ht="14.5" x14ac:dyDescent="0.35">
      <c r="B22" s="17"/>
      <c r="C22" s="17"/>
      <c r="D22" s="17"/>
      <c r="E22" s="17"/>
      <c r="F22" s="17"/>
      <c r="G22" s="17"/>
      <c r="H22" s="123"/>
      <c r="J22" s="17"/>
      <c r="K22" s="17"/>
      <c r="L22" s="17"/>
      <c r="M22" s="17"/>
      <c r="N22" s="123"/>
      <c r="O22" s="126" t="s">
        <v>127</v>
      </c>
      <c r="P22" s="128">
        <v>1</v>
      </c>
      <c r="Q22" s="129">
        <v>5.0000000000000001E-3</v>
      </c>
      <c r="R22" s="129">
        <f t="shared" si="2"/>
        <v>5.0000000000000001E-3</v>
      </c>
      <c r="S22" s="123"/>
    </row>
    <row r="23" spans="2:23" ht="14.5" x14ac:dyDescent="0.35">
      <c r="B23" s="17"/>
      <c r="C23" s="17"/>
      <c r="D23" s="17"/>
      <c r="E23" s="17"/>
      <c r="F23" s="17"/>
      <c r="G23" s="17"/>
      <c r="H23" s="123"/>
      <c r="J23" s="148"/>
      <c r="K23" s="133"/>
      <c r="L23" s="123"/>
      <c r="M23" s="134"/>
      <c r="N23" s="123"/>
      <c r="O23" s="126" t="s">
        <v>128</v>
      </c>
      <c r="P23" s="128">
        <v>1</v>
      </c>
      <c r="Q23" s="129">
        <v>5.0000000000000001E-3</v>
      </c>
      <c r="R23" s="129">
        <f t="shared" si="2"/>
        <v>5.0000000000000001E-3</v>
      </c>
      <c r="S23" s="123"/>
    </row>
    <row r="24" spans="2:23" ht="14.5" x14ac:dyDescent="0.35">
      <c r="B24" s="17"/>
      <c r="C24" s="17"/>
      <c r="D24" s="17"/>
      <c r="E24" s="17"/>
      <c r="F24" s="163"/>
      <c r="G24" s="17"/>
      <c r="H24" s="123"/>
      <c r="J24" s="148"/>
      <c r="K24" s="133"/>
      <c r="L24" s="123"/>
      <c r="M24" s="134"/>
      <c r="N24" s="123"/>
      <c r="O24" s="126" t="s">
        <v>129</v>
      </c>
      <c r="P24" s="128">
        <v>1</v>
      </c>
      <c r="Q24" s="129">
        <v>5.0000000000000001E-3</v>
      </c>
      <c r="R24" s="129">
        <f t="shared" si="2"/>
        <v>5.0000000000000001E-3</v>
      </c>
      <c r="S24" s="123"/>
    </row>
    <row r="25" spans="2:23" ht="14.5" x14ac:dyDescent="0.35">
      <c r="B25" s="17"/>
      <c r="C25" s="17"/>
      <c r="D25" s="17"/>
      <c r="E25" s="17"/>
      <c r="F25" s="17"/>
      <c r="G25" s="17"/>
      <c r="H25" s="123"/>
      <c r="J25" s="148"/>
      <c r="K25" s="133"/>
      <c r="L25" s="123"/>
      <c r="M25" s="134"/>
      <c r="N25" s="123"/>
      <c r="O25" s="126" t="s">
        <v>130</v>
      </c>
      <c r="P25" s="128">
        <v>1</v>
      </c>
      <c r="Q25" s="129">
        <v>5.0000000000000001E-3</v>
      </c>
      <c r="R25" s="129">
        <f t="shared" si="2"/>
        <v>5.0000000000000001E-3</v>
      </c>
      <c r="S25" s="123"/>
    </row>
    <row r="26" spans="2:23" ht="14.5" x14ac:dyDescent="0.35">
      <c r="B26" s="17"/>
      <c r="C26" s="17"/>
      <c r="D26" s="17"/>
      <c r="E26" s="17"/>
      <c r="F26" s="17"/>
      <c r="G26" s="17"/>
      <c r="H26" s="123"/>
      <c r="J26" s="148"/>
      <c r="K26" s="133"/>
      <c r="L26" s="123"/>
      <c r="M26" s="134"/>
      <c r="N26" s="123"/>
      <c r="O26" s="126" t="s">
        <v>131</v>
      </c>
      <c r="P26" s="128">
        <v>1</v>
      </c>
      <c r="Q26" s="129">
        <v>5.0000000000000001E-3</v>
      </c>
      <c r="R26" s="129">
        <f t="shared" si="2"/>
        <v>5.0000000000000001E-3</v>
      </c>
      <c r="S26" s="123"/>
    </row>
    <row r="27" spans="2:23" ht="14.5" x14ac:dyDescent="0.35">
      <c r="B27" s="17"/>
      <c r="C27" s="17"/>
      <c r="D27" s="17"/>
      <c r="E27" s="17"/>
      <c r="F27" s="17"/>
      <c r="G27" s="17"/>
      <c r="H27" s="123"/>
      <c r="J27" s="148"/>
      <c r="K27" s="133"/>
      <c r="L27" s="123"/>
      <c r="M27" s="134"/>
      <c r="N27" s="123"/>
      <c r="O27" s="126" t="s">
        <v>132</v>
      </c>
      <c r="P27" s="128">
        <v>1</v>
      </c>
      <c r="Q27" s="129">
        <v>5.0000000000000001E-3</v>
      </c>
      <c r="R27" s="129">
        <f t="shared" si="2"/>
        <v>5.0000000000000001E-3</v>
      </c>
      <c r="S27" s="123"/>
    </row>
    <row r="28" spans="2:23" ht="14.5" x14ac:dyDescent="0.35">
      <c r="B28" s="17"/>
      <c r="C28" s="17"/>
      <c r="D28" s="17"/>
      <c r="E28" s="17"/>
      <c r="F28" s="17"/>
      <c r="G28" s="17"/>
      <c r="H28" s="123"/>
      <c r="J28" s="148"/>
      <c r="K28" s="133"/>
      <c r="L28" s="123"/>
      <c r="M28" s="134"/>
      <c r="N28" s="123"/>
      <c r="O28" s="126" t="s">
        <v>123</v>
      </c>
      <c r="P28" s="128">
        <v>1</v>
      </c>
      <c r="Q28" s="129">
        <v>5.0000000000000001E-3</v>
      </c>
      <c r="R28" s="129">
        <f t="shared" si="2"/>
        <v>5.0000000000000001E-3</v>
      </c>
      <c r="S28" s="123"/>
    </row>
    <row r="29" spans="2:23" ht="14.5" x14ac:dyDescent="0.35">
      <c r="B29" s="17"/>
      <c r="C29" s="17"/>
      <c r="D29" s="17"/>
      <c r="E29" s="17"/>
      <c r="F29" s="17"/>
      <c r="G29" s="17"/>
      <c r="H29" s="123"/>
      <c r="J29" s="123"/>
      <c r="L29" s="17"/>
      <c r="N29" s="123"/>
      <c r="O29" s="119"/>
      <c r="P29" s="149">
        <f>SUM(P5:P28)</f>
        <v>24</v>
      </c>
      <c r="Q29" s="120"/>
      <c r="R29" s="150">
        <f>SUM(R5:R28)</f>
        <v>0.13900000000000004</v>
      </c>
      <c r="S29" s="123"/>
    </row>
    <row r="30" spans="2:23" ht="14.5" x14ac:dyDescent="0.35">
      <c r="B30" s="17"/>
      <c r="C30" s="17"/>
      <c r="D30" s="17"/>
      <c r="E30" s="17"/>
      <c r="F30" s="17"/>
      <c r="G30" s="17"/>
      <c r="H30" s="123"/>
      <c r="J30" s="17"/>
      <c r="K30" s="17"/>
      <c r="L30" s="17"/>
      <c r="M30" s="17"/>
      <c r="N30" s="17"/>
      <c r="O30" s="17"/>
      <c r="P30" s="17"/>
      <c r="Q30" s="17"/>
      <c r="R30" s="17"/>
      <c r="S30" s="123"/>
    </row>
    <row r="31" spans="2:23" ht="14.5" x14ac:dyDescent="0.35">
      <c r="C31" s="17"/>
      <c r="D31" s="143"/>
      <c r="E31" s="17"/>
      <c r="F31" s="17"/>
      <c r="G31" s="17"/>
      <c r="H31" s="123"/>
      <c r="J31" s="17"/>
      <c r="K31" s="17"/>
      <c r="L31" s="17"/>
      <c r="M31" s="17"/>
      <c r="N31" s="17"/>
      <c r="O31" s="17"/>
      <c r="P31" s="17"/>
      <c r="Q31" s="17"/>
      <c r="R31" s="17"/>
      <c r="S31" s="123"/>
    </row>
    <row r="32" spans="2:23" ht="14.5" x14ac:dyDescent="0.35">
      <c r="B32" s="17"/>
      <c r="C32" s="17"/>
      <c r="D32" s="17"/>
      <c r="E32" s="17"/>
      <c r="F32" s="17"/>
      <c r="G32" s="17"/>
      <c r="H32" s="123"/>
      <c r="J32" s="118" t="s">
        <v>77</v>
      </c>
      <c r="K32" s="118" t="s">
        <v>77</v>
      </c>
      <c r="L32" s="118" t="s">
        <v>77</v>
      </c>
      <c r="M32" s="118" t="s">
        <v>77</v>
      </c>
      <c r="N32" s="123" t="s">
        <v>77</v>
      </c>
      <c r="O32" s="118" t="s">
        <v>77</v>
      </c>
      <c r="P32" s="118" t="s">
        <v>77</v>
      </c>
      <c r="Q32" s="118" t="s">
        <v>77</v>
      </c>
      <c r="R32" s="118" t="s">
        <v>77</v>
      </c>
      <c r="S32" s="123" t="s">
        <v>77</v>
      </c>
      <c r="T32" s="118" t="s">
        <v>77</v>
      </c>
      <c r="U32" s="118" t="s">
        <v>77</v>
      </c>
      <c r="V32" s="118" t="s">
        <v>77</v>
      </c>
      <c r="W32" s="118" t="s">
        <v>77</v>
      </c>
    </row>
    <row r="33" spans="2:23" ht="14.5" x14ac:dyDescent="0.35">
      <c r="B33" s="17"/>
      <c r="C33" s="17"/>
      <c r="D33" s="17"/>
      <c r="E33" s="17"/>
      <c r="F33" s="17"/>
      <c r="G33" s="17"/>
      <c r="H33" s="123"/>
      <c r="J33" s="197" t="s">
        <v>133</v>
      </c>
      <c r="K33" s="198"/>
      <c r="L33" s="198"/>
      <c r="M33" s="199"/>
      <c r="N33" s="123"/>
      <c r="O33" s="197" t="s">
        <v>134</v>
      </c>
      <c r="P33" s="198"/>
      <c r="Q33" s="198"/>
      <c r="R33" s="199"/>
      <c r="S33" s="123"/>
      <c r="T33" s="197" t="s">
        <v>135</v>
      </c>
      <c r="U33" s="198"/>
      <c r="V33" s="198"/>
      <c r="W33" s="199"/>
    </row>
    <row r="34" spans="2:23" ht="14.5" x14ac:dyDescent="0.35">
      <c r="B34" s="17"/>
      <c r="C34" s="17"/>
      <c r="D34" s="17"/>
      <c r="E34" s="17"/>
      <c r="F34" s="17"/>
      <c r="G34" s="17"/>
      <c r="H34" s="123"/>
      <c r="J34" s="95" t="s">
        <v>84</v>
      </c>
      <c r="K34" s="96" t="s">
        <v>85</v>
      </c>
      <c r="L34" s="96" t="s">
        <v>86</v>
      </c>
      <c r="M34" s="96" t="s">
        <v>87</v>
      </c>
      <c r="N34" s="123"/>
      <c r="O34" s="95" t="s">
        <v>84</v>
      </c>
      <c r="P34" s="96" t="s">
        <v>85</v>
      </c>
      <c r="Q34" s="96" t="s">
        <v>86</v>
      </c>
      <c r="R34" s="96" t="s">
        <v>87</v>
      </c>
      <c r="S34" s="123"/>
      <c r="T34" s="95" t="s">
        <v>84</v>
      </c>
      <c r="U34" s="96" t="s">
        <v>85</v>
      </c>
      <c r="V34" s="96" t="s">
        <v>86</v>
      </c>
      <c r="W34" s="96" t="s">
        <v>87</v>
      </c>
    </row>
    <row r="35" spans="2:23" ht="14.5" x14ac:dyDescent="0.35">
      <c r="B35" s="17"/>
      <c r="C35" s="17"/>
      <c r="D35" s="17"/>
      <c r="E35" s="17"/>
      <c r="F35" s="17"/>
      <c r="G35" s="17"/>
      <c r="H35" s="123"/>
      <c r="J35" s="126" t="s">
        <v>88</v>
      </c>
      <c r="K35" s="97">
        <v>1</v>
      </c>
      <c r="L35" s="129">
        <v>5.0000000000000001E-4</v>
      </c>
      <c r="M35" s="98">
        <f>K35*L35</f>
        <v>5.0000000000000001E-4</v>
      </c>
      <c r="N35" s="123"/>
      <c r="O35" s="126" t="s">
        <v>88</v>
      </c>
      <c r="P35" s="97">
        <v>1</v>
      </c>
      <c r="Q35" s="129">
        <v>5.0000000000000001E-4</v>
      </c>
      <c r="R35" s="98">
        <f t="shared" ref="R35:R51" si="5">P35*Q35</f>
        <v>5.0000000000000001E-4</v>
      </c>
      <c r="S35" s="123"/>
      <c r="T35" s="126" t="s">
        <v>88</v>
      </c>
      <c r="U35" s="97">
        <v>1</v>
      </c>
      <c r="V35" s="98">
        <v>2E-3</v>
      </c>
      <c r="W35" s="98">
        <f>U35*V35</f>
        <v>2E-3</v>
      </c>
    </row>
    <row r="36" spans="2:23" ht="14.5" x14ac:dyDescent="0.35">
      <c r="B36" s="17"/>
      <c r="C36" s="17"/>
      <c r="D36" s="17"/>
      <c r="E36" s="17"/>
      <c r="F36" s="17"/>
      <c r="G36" s="17"/>
      <c r="H36" s="123"/>
      <c r="J36" s="126" t="s">
        <v>89</v>
      </c>
      <c r="K36" s="97">
        <v>1</v>
      </c>
      <c r="L36" s="129">
        <v>5.0000000000000001E-4</v>
      </c>
      <c r="M36" s="98">
        <f t="shared" ref="M36:M50" si="6">K36*L36</f>
        <v>5.0000000000000001E-4</v>
      </c>
      <c r="N36" s="123"/>
      <c r="O36" s="126" t="s">
        <v>89</v>
      </c>
      <c r="P36" s="97">
        <v>1</v>
      </c>
      <c r="Q36" s="129">
        <v>5.0000000000000001E-4</v>
      </c>
      <c r="R36" s="98">
        <f t="shared" si="5"/>
        <v>5.0000000000000001E-4</v>
      </c>
      <c r="S36" s="123"/>
      <c r="T36" s="126" t="s">
        <v>89</v>
      </c>
      <c r="U36" s="97">
        <v>1</v>
      </c>
      <c r="V36" s="98">
        <v>2E-3</v>
      </c>
      <c r="W36" s="98">
        <f t="shared" ref="W36:W42" si="7">U36*V36</f>
        <v>2E-3</v>
      </c>
    </row>
    <row r="37" spans="2:23" ht="14.5" x14ac:dyDescent="0.35">
      <c r="B37" s="17"/>
      <c r="C37" s="17"/>
      <c r="D37" s="17"/>
      <c r="E37" s="17"/>
      <c r="F37" s="17"/>
      <c r="G37" s="17"/>
      <c r="H37" s="123"/>
      <c r="J37" s="126" t="s">
        <v>90</v>
      </c>
      <c r="K37" s="97">
        <v>1</v>
      </c>
      <c r="L37" s="129">
        <v>5.0000000000000001E-4</v>
      </c>
      <c r="M37" s="98">
        <f t="shared" si="6"/>
        <v>5.0000000000000001E-4</v>
      </c>
      <c r="N37" s="123"/>
      <c r="O37" s="126" t="s">
        <v>90</v>
      </c>
      <c r="P37" s="97">
        <v>1</v>
      </c>
      <c r="Q37" s="129">
        <v>4.0000000000000002E-4</v>
      </c>
      <c r="R37" s="98">
        <f t="shared" si="5"/>
        <v>4.0000000000000002E-4</v>
      </c>
      <c r="S37" s="123"/>
      <c r="T37" s="126" t="s">
        <v>90</v>
      </c>
      <c r="U37" s="97">
        <v>1</v>
      </c>
      <c r="V37" s="98">
        <v>2E-3</v>
      </c>
      <c r="W37" s="98">
        <f t="shared" si="7"/>
        <v>2E-3</v>
      </c>
    </row>
    <row r="38" spans="2:23" ht="14.5" x14ac:dyDescent="0.35">
      <c r="B38" s="17"/>
      <c r="C38" s="17"/>
      <c r="D38" s="17"/>
      <c r="E38" s="17"/>
      <c r="F38" s="17"/>
      <c r="G38" s="17"/>
      <c r="H38" s="123"/>
      <c r="J38" s="126" t="s">
        <v>136</v>
      </c>
      <c r="K38" s="97">
        <v>1</v>
      </c>
      <c r="L38" s="129">
        <v>5.0000000000000001E-4</v>
      </c>
      <c r="M38" s="98">
        <f t="shared" si="6"/>
        <v>5.0000000000000001E-4</v>
      </c>
      <c r="N38" s="123"/>
      <c r="O38" s="126" t="s">
        <v>136</v>
      </c>
      <c r="P38" s="97">
        <v>1</v>
      </c>
      <c r="Q38" s="129">
        <v>4.0000000000000002E-4</v>
      </c>
      <c r="R38" s="98">
        <f t="shared" si="5"/>
        <v>4.0000000000000002E-4</v>
      </c>
      <c r="S38" s="123"/>
      <c r="T38" s="126" t="s">
        <v>137</v>
      </c>
      <c r="U38" s="97">
        <v>1</v>
      </c>
      <c r="V38" s="98">
        <v>2E-3</v>
      </c>
      <c r="W38" s="98">
        <f t="shared" si="7"/>
        <v>2E-3</v>
      </c>
    </row>
    <row r="39" spans="2:23" ht="14.5" x14ac:dyDescent="0.35">
      <c r="B39" s="17"/>
      <c r="C39" s="17"/>
      <c r="D39" s="17"/>
      <c r="E39" s="17"/>
      <c r="F39" s="17"/>
      <c r="G39" s="17"/>
      <c r="H39" s="123"/>
      <c r="J39" s="126" t="s">
        <v>138</v>
      </c>
      <c r="K39" s="97">
        <v>1</v>
      </c>
      <c r="L39" s="129">
        <v>5.0000000000000001E-4</v>
      </c>
      <c r="M39" s="98">
        <f t="shared" si="6"/>
        <v>5.0000000000000001E-4</v>
      </c>
      <c r="N39" s="123"/>
      <c r="O39" s="126" t="s">
        <v>139</v>
      </c>
      <c r="P39" s="97">
        <v>1</v>
      </c>
      <c r="Q39" s="129">
        <v>4.0000000000000002E-4</v>
      </c>
      <c r="R39" s="98">
        <f t="shared" si="5"/>
        <v>4.0000000000000002E-4</v>
      </c>
      <c r="S39" s="123"/>
      <c r="T39" s="126" t="s">
        <v>140</v>
      </c>
      <c r="U39" s="97">
        <v>1</v>
      </c>
      <c r="V39" s="98">
        <v>2E-3</v>
      </c>
      <c r="W39" s="98">
        <f t="shared" si="7"/>
        <v>2E-3</v>
      </c>
    </row>
    <row r="40" spans="2:23" ht="14.5" x14ac:dyDescent="0.35">
      <c r="B40" s="17"/>
      <c r="C40" s="17"/>
      <c r="D40" s="17"/>
      <c r="E40" s="17"/>
      <c r="F40" s="17"/>
      <c r="G40" s="17"/>
      <c r="H40" s="123"/>
      <c r="J40" s="126" t="s">
        <v>91</v>
      </c>
      <c r="K40" s="97">
        <v>1</v>
      </c>
      <c r="L40" s="129">
        <v>5.0000000000000001E-4</v>
      </c>
      <c r="M40" s="98">
        <f t="shared" si="6"/>
        <v>5.0000000000000001E-4</v>
      </c>
      <c r="N40" s="123"/>
      <c r="O40" s="126" t="s">
        <v>91</v>
      </c>
      <c r="P40" s="97">
        <v>1</v>
      </c>
      <c r="Q40" s="129">
        <v>4.0000000000000002E-4</v>
      </c>
      <c r="R40" s="98">
        <f t="shared" si="5"/>
        <v>4.0000000000000002E-4</v>
      </c>
      <c r="S40" s="123"/>
      <c r="T40" s="126" t="s">
        <v>141</v>
      </c>
      <c r="U40" s="97">
        <v>1</v>
      </c>
      <c r="V40" s="98">
        <v>2E-3</v>
      </c>
      <c r="W40" s="98">
        <f t="shared" si="7"/>
        <v>2E-3</v>
      </c>
    </row>
    <row r="41" spans="2:23" ht="14.5" x14ac:dyDescent="0.35">
      <c r="B41" s="17"/>
      <c r="C41" s="17"/>
      <c r="D41" s="17"/>
      <c r="E41" s="17"/>
      <c r="F41" s="17"/>
      <c r="G41" s="17"/>
      <c r="H41" s="123"/>
      <c r="J41" s="126" t="s">
        <v>142</v>
      </c>
      <c r="K41" s="97">
        <v>1</v>
      </c>
      <c r="L41" s="129">
        <v>4.0000000000000002E-4</v>
      </c>
      <c r="M41" s="98">
        <f t="shared" si="6"/>
        <v>4.0000000000000002E-4</v>
      </c>
      <c r="N41" s="123"/>
      <c r="O41" s="126" t="s">
        <v>142</v>
      </c>
      <c r="P41" s="97">
        <v>1</v>
      </c>
      <c r="Q41" s="129">
        <v>4.0000000000000002E-4</v>
      </c>
      <c r="R41" s="98">
        <f t="shared" si="5"/>
        <v>4.0000000000000002E-4</v>
      </c>
      <c r="S41" s="123"/>
      <c r="T41" s="126" t="s">
        <v>143</v>
      </c>
      <c r="U41" s="97">
        <v>1</v>
      </c>
      <c r="V41" s="98">
        <v>1E-3</v>
      </c>
      <c r="W41" s="98">
        <f t="shared" si="7"/>
        <v>1E-3</v>
      </c>
    </row>
    <row r="42" spans="2:23" ht="14.5" x14ac:dyDescent="0.35">
      <c r="B42" s="17"/>
      <c r="C42" s="17"/>
      <c r="D42" s="17"/>
      <c r="E42" s="17"/>
      <c r="F42" s="17"/>
      <c r="G42" s="17"/>
      <c r="H42" s="123"/>
      <c r="J42" s="126" t="s">
        <v>144</v>
      </c>
      <c r="K42" s="97">
        <v>1</v>
      </c>
      <c r="L42" s="129">
        <v>4.0000000000000002E-4</v>
      </c>
      <c r="M42" s="98">
        <f t="shared" si="6"/>
        <v>4.0000000000000002E-4</v>
      </c>
      <c r="N42" s="123"/>
      <c r="O42" s="126" t="s">
        <v>144</v>
      </c>
      <c r="P42" s="97">
        <v>1</v>
      </c>
      <c r="Q42" s="129">
        <v>4.0000000000000002E-4</v>
      </c>
      <c r="R42" s="98">
        <f t="shared" si="5"/>
        <v>4.0000000000000002E-4</v>
      </c>
      <c r="S42" s="123"/>
      <c r="T42" s="126" t="s">
        <v>123</v>
      </c>
      <c r="U42" s="97">
        <v>1</v>
      </c>
      <c r="V42" s="98">
        <v>1E-3</v>
      </c>
      <c r="W42" s="98">
        <f t="shared" si="7"/>
        <v>1E-3</v>
      </c>
    </row>
    <row r="43" spans="2:23" ht="14.5" x14ac:dyDescent="0.35">
      <c r="B43" s="17"/>
      <c r="C43" s="17"/>
      <c r="D43" s="17"/>
      <c r="E43" s="17"/>
      <c r="F43" s="17"/>
      <c r="G43" s="17"/>
      <c r="H43" s="123"/>
      <c r="J43" s="126" t="s">
        <v>145</v>
      </c>
      <c r="K43" s="97">
        <v>1</v>
      </c>
      <c r="L43" s="129">
        <v>4.0000000000000002E-4</v>
      </c>
      <c r="M43" s="98">
        <f t="shared" si="6"/>
        <v>4.0000000000000002E-4</v>
      </c>
      <c r="N43" s="123"/>
      <c r="O43" s="126" t="s">
        <v>145</v>
      </c>
      <c r="P43" s="97">
        <v>1</v>
      </c>
      <c r="Q43" s="129">
        <v>4.0000000000000002E-4</v>
      </c>
      <c r="R43" s="98">
        <f t="shared" si="5"/>
        <v>4.0000000000000002E-4</v>
      </c>
      <c r="S43" s="123"/>
      <c r="T43" s="119"/>
      <c r="U43" s="130">
        <f>SUM(U35:U42)</f>
        <v>8</v>
      </c>
      <c r="V43" s="125"/>
      <c r="W43" s="131">
        <f>SUM(W35:W42)</f>
        <v>1.4000000000000002E-2</v>
      </c>
    </row>
    <row r="44" spans="2:23" ht="14.5" x14ac:dyDescent="0.35">
      <c r="B44" s="17"/>
      <c r="C44" s="17"/>
      <c r="D44" s="17"/>
      <c r="E44" s="17"/>
      <c r="F44" s="17"/>
      <c r="G44" s="17"/>
      <c r="H44" s="123"/>
      <c r="J44" s="126" t="s">
        <v>146</v>
      </c>
      <c r="K44" s="97">
        <v>1</v>
      </c>
      <c r="L44" s="129">
        <v>4.0000000000000002E-4</v>
      </c>
      <c r="M44" s="98">
        <f t="shared" si="6"/>
        <v>4.0000000000000002E-4</v>
      </c>
      <c r="N44" s="123"/>
      <c r="O44" s="126" t="s">
        <v>146</v>
      </c>
      <c r="P44" s="97">
        <v>1</v>
      </c>
      <c r="Q44" s="129">
        <v>4.0000000000000002E-4</v>
      </c>
      <c r="R44" s="98">
        <f t="shared" si="5"/>
        <v>4.0000000000000002E-4</v>
      </c>
      <c r="S44" s="123"/>
    </row>
    <row r="45" spans="2:23" ht="14.5" x14ac:dyDescent="0.35">
      <c r="B45" s="17"/>
      <c r="C45" s="17"/>
      <c r="D45" s="17"/>
      <c r="E45" s="17"/>
      <c r="F45" s="17"/>
      <c r="G45" s="17"/>
      <c r="H45" s="123"/>
      <c r="J45" s="126" t="s">
        <v>147</v>
      </c>
      <c r="K45" s="97">
        <v>1</v>
      </c>
      <c r="L45" s="129">
        <v>4.0000000000000002E-4</v>
      </c>
      <c r="M45" s="98">
        <f t="shared" si="6"/>
        <v>4.0000000000000002E-4</v>
      </c>
      <c r="N45" s="123"/>
      <c r="O45" s="126" t="s">
        <v>147</v>
      </c>
      <c r="P45" s="97">
        <v>1</v>
      </c>
      <c r="Q45" s="129">
        <v>4.0000000000000002E-4</v>
      </c>
      <c r="R45" s="98">
        <f t="shared" si="5"/>
        <v>4.0000000000000002E-4</v>
      </c>
      <c r="S45" s="123"/>
    </row>
    <row r="46" spans="2:23" ht="14.5" x14ac:dyDescent="0.35">
      <c r="B46" s="17"/>
      <c r="C46" s="17"/>
      <c r="D46" s="17"/>
      <c r="E46" s="17"/>
      <c r="F46" s="17"/>
      <c r="G46" s="17"/>
      <c r="H46" s="123"/>
      <c r="J46" s="126" t="s">
        <v>148</v>
      </c>
      <c r="K46" s="97">
        <v>1</v>
      </c>
      <c r="L46" s="129">
        <v>4.0000000000000002E-4</v>
      </c>
      <c r="M46" s="98">
        <f t="shared" si="6"/>
        <v>4.0000000000000002E-4</v>
      </c>
      <c r="N46" s="123"/>
      <c r="O46" s="126" t="s">
        <v>149</v>
      </c>
      <c r="P46" s="97">
        <v>1</v>
      </c>
      <c r="Q46" s="129">
        <v>4.0000000000000002E-4</v>
      </c>
      <c r="R46" s="98">
        <f t="shared" si="5"/>
        <v>4.0000000000000002E-4</v>
      </c>
      <c r="S46" s="123"/>
    </row>
    <row r="47" spans="2:23" ht="14.5" x14ac:dyDescent="0.35">
      <c r="B47" s="17"/>
      <c r="C47" s="17"/>
      <c r="D47" s="17"/>
      <c r="E47" s="17"/>
      <c r="F47" s="17"/>
      <c r="G47" s="17"/>
      <c r="H47" s="123"/>
      <c r="J47" s="126" t="s">
        <v>150</v>
      </c>
      <c r="K47" s="97">
        <v>1</v>
      </c>
      <c r="L47" s="129">
        <v>4.0000000000000002E-4</v>
      </c>
      <c r="M47" s="98">
        <f t="shared" si="6"/>
        <v>4.0000000000000002E-4</v>
      </c>
      <c r="N47" s="123"/>
      <c r="O47" s="126" t="s">
        <v>151</v>
      </c>
      <c r="P47" s="97">
        <v>1</v>
      </c>
      <c r="Q47" s="129">
        <v>4.0000000000000002E-4</v>
      </c>
      <c r="R47" s="98">
        <f t="shared" si="5"/>
        <v>4.0000000000000002E-4</v>
      </c>
      <c r="S47" s="123"/>
    </row>
    <row r="48" spans="2:23" ht="14.5" x14ac:dyDescent="0.35">
      <c r="B48" s="17"/>
      <c r="C48" s="17"/>
      <c r="D48" s="17"/>
      <c r="E48" s="17"/>
      <c r="F48" s="17"/>
      <c r="G48" s="17"/>
      <c r="H48" s="123"/>
      <c r="J48" s="126" t="s">
        <v>152</v>
      </c>
      <c r="K48" s="97">
        <v>1</v>
      </c>
      <c r="L48" s="129">
        <v>4.0000000000000002E-4</v>
      </c>
      <c r="M48" s="98">
        <f t="shared" si="6"/>
        <v>4.0000000000000002E-4</v>
      </c>
      <c r="N48" s="123"/>
      <c r="O48" s="126" t="s">
        <v>153</v>
      </c>
      <c r="P48" s="128">
        <v>1</v>
      </c>
      <c r="Q48" s="129">
        <v>4.0000000000000002E-4</v>
      </c>
      <c r="R48" s="98">
        <f t="shared" si="5"/>
        <v>4.0000000000000002E-4</v>
      </c>
      <c r="S48" s="123"/>
    </row>
    <row r="49" spans="2:23" ht="14.5" x14ac:dyDescent="0.35">
      <c r="B49" s="17"/>
      <c r="C49" s="17"/>
      <c r="D49" s="17"/>
      <c r="E49" s="17"/>
      <c r="F49" s="17"/>
      <c r="G49" s="17"/>
      <c r="H49" s="123"/>
      <c r="J49" s="132" t="s">
        <v>154</v>
      </c>
      <c r="K49" s="128">
        <v>1</v>
      </c>
      <c r="L49" s="129">
        <v>4.0000000000000002E-4</v>
      </c>
      <c r="M49" s="98">
        <f t="shared" si="6"/>
        <v>4.0000000000000002E-4</v>
      </c>
      <c r="N49" s="123"/>
      <c r="O49" s="126" t="s">
        <v>155</v>
      </c>
      <c r="P49" s="128">
        <v>1</v>
      </c>
      <c r="Q49" s="129">
        <v>4.0000000000000002E-4</v>
      </c>
      <c r="R49" s="98">
        <f t="shared" si="5"/>
        <v>4.0000000000000002E-4</v>
      </c>
      <c r="S49" s="123"/>
    </row>
    <row r="50" spans="2:23" ht="14.5" x14ac:dyDescent="0.35">
      <c r="B50" s="17"/>
      <c r="C50" s="17"/>
      <c r="D50" s="17"/>
      <c r="E50" s="17"/>
      <c r="F50" s="17"/>
      <c r="G50" s="17"/>
      <c r="H50" s="123"/>
      <c r="J50" s="127" t="s">
        <v>123</v>
      </c>
      <c r="K50" s="128">
        <v>1</v>
      </c>
      <c r="L50" s="129">
        <v>4.0000000000000002E-4</v>
      </c>
      <c r="M50" s="98">
        <f t="shared" si="6"/>
        <v>4.0000000000000002E-4</v>
      </c>
      <c r="N50" s="123"/>
      <c r="O50" s="126" t="s">
        <v>154</v>
      </c>
      <c r="P50" s="151">
        <v>1</v>
      </c>
      <c r="Q50" s="129">
        <v>4.0000000000000002E-4</v>
      </c>
      <c r="R50" s="98">
        <f t="shared" si="5"/>
        <v>4.0000000000000002E-4</v>
      </c>
      <c r="S50" s="123"/>
    </row>
    <row r="51" spans="2:23" ht="14.5" x14ac:dyDescent="0.35">
      <c r="B51" s="17"/>
      <c r="C51" s="17"/>
      <c r="D51" s="17"/>
      <c r="E51" s="17"/>
      <c r="F51" s="17"/>
      <c r="G51" s="17"/>
      <c r="H51" s="123"/>
      <c r="J51" s="148"/>
      <c r="K51" s="152">
        <f>SUM(K35:K50)</f>
        <v>16</v>
      </c>
      <c r="L51" s="100"/>
      <c r="M51" s="153">
        <f>SUM(M35:M50)</f>
        <v>7.0000000000000019E-3</v>
      </c>
      <c r="N51" s="123"/>
      <c r="O51" s="126" t="s">
        <v>123</v>
      </c>
      <c r="P51" s="151">
        <v>1</v>
      </c>
      <c r="Q51" s="129">
        <v>4.0000000000000002E-4</v>
      </c>
      <c r="R51" s="98">
        <f t="shared" si="5"/>
        <v>4.0000000000000002E-4</v>
      </c>
      <c r="S51" s="123"/>
    </row>
    <row r="52" spans="2:23" ht="14.5" x14ac:dyDescent="0.35">
      <c r="B52" s="17"/>
      <c r="C52" s="17"/>
      <c r="D52" s="17"/>
      <c r="E52" s="17"/>
      <c r="F52" s="17"/>
      <c r="G52" s="17"/>
      <c r="H52" s="123"/>
      <c r="J52" s="17"/>
      <c r="K52" s="17"/>
      <c r="L52" s="17"/>
      <c r="M52" s="17"/>
      <c r="N52" s="123"/>
      <c r="O52" s="123"/>
      <c r="P52" s="101">
        <f>SUM(P35:P51)</f>
        <v>17</v>
      </c>
      <c r="Q52" s="100"/>
      <c r="R52" s="102">
        <f>SUM(R35:R51)</f>
        <v>7.0000000000000019E-3</v>
      </c>
      <c r="S52" s="123"/>
    </row>
    <row r="53" spans="2:23" ht="14.5" x14ac:dyDescent="0.35">
      <c r="B53" s="17"/>
      <c r="C53" s="17"/>
      <c r="D53" s="17"/>
      <c r="E53" s="17"/>
      <c r="F53" s="17"/>
      <c r="G53" s="17"/>
      <c r="H53" s="123"/>
      <c r="J53" s="17"/>
      <c r="K53" s="17"/>
      <c r="L53" s="17"/>
      <c r="M53" s="17"/>
      <c r="N53" s="123"/>
      <c r="O53" s="123"/>
      <c r="P53" s="17"/>
      <c r="Q53" s="17"/>
      <c r="R53" s="17"/>
      <c r="S53" s="123"/>
    </row>
    <row r="54" spans="2:23" ht="14.5" x14ac:dyDescent="0.35">
      <c r="B54" s="17"/>
      <c r="C54" s="17"/>
      <c r="D54" s="17"/>
      <c r="E54" s="17"/>
      <c r="F54" s="17"/>
      <c r="G54" s="17"/>
      <c r="H54" s="123"/>
      <c r="J54" s="123"/>
      <c r="K54" s="17"/>
      <c r="L54" s="17"/>
      <c r="M54" s="17"/>
      <c r="N54" s="123"/>
      <c r="O54" s="123"/>
      <c r="P54" s="123"/>
      <c r="Q54" s="123"/>
      <c r="R54" s="123"/>
      <c r="S54" s="123"/>
    </row>
    <row r="55" spans="2:23" ht="14.5" x14ac:dyDescent="0.35">
      <c r="B55" s="17"/>
      <c r="C55" s="17"/>
      <c r="D55" s="17"/>
      <c r="E55" s="17"/>
      <c r="F55" s="17"/>
      <c r="G55" s="17"/>
      <c r="H55" s="123"/>
      <c r="J55" s="118" t="s">
        <v>77</v>
      </c>
      <c r="K55" s="118" t="s">
        <v>77</v>
      </c>
      <c r="L55" s="118" t="s">
        <v>77</v>
      </c>
      <c r="M55" s="118" t="s">
        <v>77</v>
      </c>
      <c r="N55" s="123" t="s">
        <v>77</v>
      </c>
      <c r="O55" s="118" t="s">
        <v>77</v>
      </c>
      <c r="P55" s="118" t="s">
        <v>77</v>
      </c>
      <c r="Q55" s="118" t="s">
        <v>77</v>
      </c>
      <c r="R55" s="118" t="s">
        <v>77</v>
      </c>
      <c r="S55" s="123" t="s">
        <v>77</v>
      </c>
      <c r="T55" s="118" t="s">
        <v>77</v>
      </c>
      <c r="U55" s="118" t="s">
        <v>77</v>
      </c>
      <c r="V55" s="118" t="s">
        <v>77</v>
      </c>
      <c r="W55" s="118" t="s">
        <v>77</v>
      </c>
    </row>
    <row r="56" spans="2:23" ht="14.5" x14ac:dyDescent="0.35">
      <c r="B56" s="17"/>
      <c r="C56" s="17"/>
      <c r="D56" s="17"/>
      <c r="E56" s="17"/>
      <c r="F56" s="17"/>
      <c r="G56" s="17"/>
      <c r="H56" s="123"/>
      <c r="J56" s="197" t="s">
        <v>156</v>
      </c>
      <c r="K56" s="198"/>
      <c r="L56" s="198"/>
      <c r="M56" s="199"/>
      <c r="N56" s="123"/>
      <c r="O56" s="145" t="s">
        <v>157</v>
      </c>
      <c r="P56" s="146"/>
      <c r="Q56" s="146"/>
      <c r="R56" s="147"/>
      <c r="S56" s="123"/>
      <c r="T56" s="197" t="s">
        <v>158</v>
      </c>
      <c r="U56" s="198"/>
      <c r="V56" s="198"/>
      <c r="W56" s="199"/>
    </row>
    <row r="57" spans="2:23" ht="14.5" x14ac:dyDescent="0.35">
      <c r="B57" s="17"/>
      <c r="C57" s="17"/>
      <c r="D57" s="17"/>
      <c r="E57" s="17"/>
      <c r="F57" s="17"/>
      <c r="G57" s="17"/>
      <c r="H57" s="123"/>
      <c r="J57" s="95" t="s">
        <v>84</v>
      </c>
      <c r="K57" s="96" t="s">
        <v>85</v>
      </c>
      <c r="L57" s="96" t="s">
        <v>86</v>
      </c>
      <c r="M57" s="96" t="s">
        <v>87</v>
      </c>
      <c r="N57" s="123"/>
      <c r="O57" s="95" t="s">
        <v>84</v>
      </c>
      <c r="P57" s="96" t="s">
        <v>85</v>
      </c>
      <c r="Q57" s="96" t="s">
        <v>86</v>
      </c>
      <c r="R57" s="96" t="s">
        <v>87</v>
      </c>
      <c r="S57" s="123"/>
      <c r="T57" s="95" t="s">
        <v>84</v>
      </c>
      <c r="U57" s="96" t="s">
        <v>85</v>
      </c>
      <c r="V57" s="96" t="s">
        <v>86</v>
      </c>
      <c r="W57" s="96" t="s">
        <v>87</v>
      </c>
    </row>
    <row r="58" spans="2:23" ht="14.5" x14ac:dyDescent="0.35">
      <c r="B58" s="17"/>
      <c r="C58" s="17"/>
      <c r="D58" s="17"/>
      <c r="E58" s="17"/>
      <c r="F58" s="17"/>
      <c r="G58" s="17"/>
      <c r="H58" s="123"/>
      <c r="J58" s="126" t="s">
        <v>88</v>
      </c>
      <c r="K58" s="97">
        <v>1</v>
      </c>
      <c r="L58" s="98">
        <v>1.6E-2</v>
      </c>
      <c r="M58" s="98">
        <f>K58*L58</f>
        <v>1.6E-2</v>
      </c>
      <c r="N58" s="123"/>
      <c r="O58" s="126" t="s">
        <v>88</v>
      </c>
      <c r="P58" s="97">
        <v>1</v>
      </c>
      <c r="Q58" s="98">
        <v>1.0999999999999999E-2</v>
      </c>
      <c r="R58" s="98">
        <f>P58*Q58</f>
        <v>1.0999999999999999E-2</v>
      </c>
      <c r="S58" s="123"/>
      <c r="T58" s="126" t="s">
        <v>88</v>
      </c>
      <c r="U58" s="97">
        <v>1</v>
      </c>
      <c r="V58" s="129">
        <v>0.02</v>
      </c>
      <c r="W58" s="98">
        <f>U58*V58</f>
        <v>0.02</v>
      </c>
    </row>
    <row r="59" spans="2:23" ht="14.5" x14ac:dyDescent="0.35">
      <c r="B59" s="17"/>
      <c r="C59" s="17"/>
      <c r="D59" s="17"/>
      <c r="E59" s="17"/>
      <c r="F59" s="17"/>
      <c r="G59" s="17"/>
      <c r="H59" s="123"/>
      <c r="J59" s="126" t="s">
        <v>89</v>
      </c>
      <c r="K59" s="97">
        <v>1</v>
      </c>
      <c r="L59" s="98">
        <v>1.6E-2</v>
      </c>
      <c r="M59" s="98">
        <f t="shared" ref="M59:M67" si="8">K59*L59</f>
        <v>1.6E-2</v>
      </c>
      <c r="N59" s="123"/>
      <c r="O59" s="126" t="s">
        <v>89</v>
      </c>
      <c r="P59" s="97">
        <v>1</v>
      </c>
      <c r="Q59" s="98">
        <v>1.0999999999999999E-2</v>
      </c>
      <c r="R59" s="98">
        <f t="shared" ref="R59:R66" si="9">P59*Q59</f>
        <v>1.0999999999999999E-2</v>
      </c>
      <c r="S59" s="123"/>
      <c r="T59" s="126" t="s">
        <v>89</v>
      </c>
      <c r="U59" s="97">
        <v>1</v>
      </c>
      <c r="V59" s="129">
        <v>0.02</v>
      </c>
      <c r="W59" s="98">
        <f t="shared" ref="W59:W68" si="10">U59*V59</f>
        <v>0.02</v>
      </c>
    </row>
    <row r="60" spans="2:23" ht="14.5" x14ac:dyDescent="0.35">
      <c r="B60" s="17"/>
      <c r="C60" s="17"/>
      <c r="D60" s="17"/>
      <c r="E60" s="17"/>
      <c r="F60" s="17"/>
      <c r="G60" s="17"/>
      <c r="H60" s="123"/>
      <c r="J60" s="126" t="s">
        <v>90</v>
      </c>
      <c r="K60" s="97">
        <v>1</v>
      </c>
      <c r="L60" s="98">
        <v>8.0000000000000002E-3</v>
      </c>
      <c r="M60" s="98">
        <f t="shared" si="8"/>
        <v>8.0000000000000002E-3</v>
      </c>
      <c r="N60" s="123"/>
      <c r="O60" s="126" t="s">
        <v>90</v>
      </c>
      <c r="P60" s="97">
        <v>1</v>
      </c>
      <c r="Q60" s="98">
        <v>1.0999999999999999E-2</v>
      </c>
      <c r="R60" s="98">
        <f t="shared" si="9"/>
        <v>1.0999999999999999E-2</v>
      </c>
      <c r="S60" s="123"/>
      <c r="T60" s="126" t="s">
        <v>90</v>
      </c>
      <c r="U60" s="97">
        <v>1</v>
      </c>
      <c r="V60" s="129">
        <v>1.4999999999999999E-2</v>
      </c>
      <c r="W60" s="98">
        <f t="shared" si="10"/>
        <v>1.4999999999999999E-2</v>
      </c>
    </row>
    <row r="61" spans="2:23" ht="14.5" x14ac:dyDescent="0.35">
      <c r="B61" s="17"/>
      <c r="C61" s="17"/>
      <c r="D61" s="17"/>
      <c r="E61" s="17"/>
      <c r="F61" s="17"/>
      <c r="G61" s="17"/>
      <c r="H61" s="123"/>
      <c r="J61" s="126" t="s">
        <v>159</v>
      </c>
      <c r="K61" s="97">
        <v>1</v>
      </c>
      <c r="L61" s="98">
        <v>8.0000000000000002E-3</v>
      </c>
      <c r="M61" s="98">
        <f t="shared" si="8"/>
        <v>8.0000000000000002E-3</v>
      </c>
      <c r="N61" s="123"/>
      <c r="O61" s="126" t="s">
        <v>160</v>
      </c>
      <c r="P61" s="97">
        <v>1</v>
      </c>
      <c r="Q61" s="98">
        <v>1.0999999999999999E-2</v>
      </c>
      <c r="R61" s="98">
        <f t="shared" si="9"/>
        <v>1.0999999999999999E-2</v>
      </c>
      <c r="S61" s="123"/>
      <c r="T61" s="126" t="s">
        <v>161</v>
      </c>
      <c r="U61" s="97">
        <v>1</v>
      </c>
      <c r="V61" s="129">
        <v>1.4E-2</v>
      </c>
      <c r="W61" s="98">
        <f t="shared" si="10"/>
        <v>1.4E-2</v>
      </c>
    </row>
    <row r="62" spans="2:23" ht="14.5" x14ac:dyDescent="0.35">
      <c r="B62" s="17"/>
      <c r="C62" s="17"/>
      <c r="D62" s="17"/>
      <c r="E62" s="17"/>
      <c r="F62" s="17"/>
      <c r="G62" s="17"/>
      <c r="H62" s="123"/>
      <c r="J62" s="126" t="s">
        <v>162</v>
      </c>
      <c r="K62" s="97">
        <v>1</v>
      </c>
      <c r="L62" s="98">
        <v>8.0000000000000002E-3</v>
      </c>
      <c r="M62" s="98">
        <f t="shared" si="8"/>
        <v>8.0000000000000002E-3</v>
      </c>
      <c r="N62" s="123"/>
      <c r="O62" s="126" t="s">
        <v>99</v>
      </c>
      <c r="P62" s="97">
        <v>1</v>
      </c>
      <c r="Q62" s="98">
        <v>1.0999999999999999E-2</v>
      </c>
      <c r="R62" s="98">
        <f t="shared" si="9"/>
        <v>1.0999999999999999E-2</v>
      </c>
      <c r="S62" s="123"/>
      <c r="T62" s="126" t="s">
        <v>91</v>
      </c>
      <c r="U62" s="97">
        <v>1</v>
      </c>
      <c r="V62" s="129">
        <v>0.01</v>
      </c>
      <c r="W62" s="98">
        <f t="shared" si="10"/>
        <v>0.01</v>
      </c>
    </row>
    <row r="63" spans="2:23" ht="14.5" x14ac:dyDescent="0.35">
      <c r="B63" s="17"/>
      <c r="C63" s="17"/>
      <c r="D63" s="17"/>
      <c r="E63" s="17"/>
      <c r="F63" s="17"/>
      <c r="G63" s="17"/>
      <c r="H63" s="123"/>
      <c r="J63" s="126" t="s">
        <v>160</v>
      </c>
      <c r="K63" s="97">
        <v>1</v>
      </c>
      <c r="L63" s="98">
        <v>8.0000000000000002E-3</v>
      </c>
      <c r="M63" s="98">
        <f t="shared" si="8"/>
        <v>8.0000000000000002E-3</v>
      </c>
      <c r="N63" s="123"/>
      <c r="O63" s="126" t="s">
        <v>163</v>
      </c>
      <c r="P63" s="97">
        <v>1</v>
      </c>
      <c r="Q63" s="98">
        <v>1.0999999999999999E-2</v>
      </c>
      <c r="R63" s="98">
        <f t="shared" si="9"/>
        <v>1.0999999999999999E-2</v>
      </c>
      <c r="S63" s="123"/>
      <c r="T63" s="126" t="s">
        <v>164</v>
      </c>
      <c r="U63" s="97">
        <v>1</v>
      </c>
      <c r="V63" s="129">
        <v>0.01</v>
      </c>
      <c r="W63" s="98">
        <f t="shared" si="10"/>
        <v>0.01</v>
      </c>
    </row>
    <row r="64" spans="2:23" ht="14.5" x14ac:dyDescent="0.35">
      <c r="B64" s="17"/>
      <c r="C64" s="17"/>
      <c r="D64" s="17"/>
      <c r="E64" s="17"/>
      <c r="F64" s="17"/>
      <c r="G64" s="17"/>
      <c r="H64" s="123"/>
      <c r="J64" s="126" t="s">
        <v>165</v>
      </c>
      <c r="K64" s="97">
        <v>1</v>
      </c>
      <c r="L64" s="98">
        <v>8.0000000000000002E-3</v>
      </c>
      <c r="M64" s="98">
        <f t="shared" si="8"/>
        <v>8.0000000000000002E-3</v>
      </c>
      <c r="N64" s="123"/>
      <c r="O64" s="126" t="s">
        <v>166</v>
      </c>
      <c r="P64" s="97">
        <v>1</v>
      </c>
      <c r="Q64" s="98">
        <v>1.0999999999999999E-2</v>
      </c>
      <c r="R64" s="98">
        <f t="shared" si="9"/>
        <v>1.0999999999999999E-2</v>
      </c>
      <c r="S64" s="123"/>
      <c r="T64" s="126" t="s">
        <v>167</v>
      </c>
      <c r="U64" s="97">
        <v>1</v>
      </c>
      <c r="V64" s="129">
        <v>0.01</v>
      </c>
      <c r="W64" s="98">
        <f t="shared" si="10"/>
        <v>0.01</v>
      </c>
    </row>
    <row r="65" spans="2:23" ht="14.5" x14ac:dyDescent="0.35">
      <c r="B65" s="17"/>
      <c r="C65" s="17"/>
      <c r="D65" s="17"/>
      <c r="E65" s="17"/>
      <c r="F65" s="17"/>
      <c r="G65" s="17"/>
      <c r="H65" s="119"/>
      <c r="J65" s="126" t="s">
        <v>168</v>
      </c>
      <c r="K65" s="97">
        <v>1</v>
      </c>
      <c r="L65" s="98">
        <v>8.0000000000000002E-3</v>
      </c>
      <c r="M65" s="98">
        <f t="shared" si="8"/>
        <v>8.0000000000000002E-3</v>
      </c>
      <c r="N65" s="123"/>
      <c r="O65" s="126" t="s">
        <v>99</v>
      </c>
      <c r="P65" s="97">
        <v>1</v>
      </c>
      <c r="Q65" s="98">
        <v>0.01</v>
      </c>
      <c r="R65" s="98">
        <f t="shared" si="9"/>
        <v>0.01</v>
      </c>
      <c r="S65" s="123"/>
      <c r="T65" s="126" t="s">
        <v>169</v>
      </c>
      <c r="U65" s="97">
        <v>1</v>
      </c>
      <c r="V65" s="129">
        <v>0.01</v>
      </c>
      <c r="W65" s="98">
        <f t="shared" si="10"/>
        <v>0.01</v>
      </c>
    </row>
    <row r="66" spans="2:23" ht="14.5" x14ac:dyDescent="0.35">
      <c r="B66" s="17"/>
      <c r="C66" s="17"/>
      <c r="D66" s="17"/>
      <c r="E66" s="17"/>
      <c r="F66" s="17"/>
      <c r="G66" s="17"/>
      <c r="H66" s="17"/>
      <c r="J66" s="126" t="s">
        <v>165</v>
      </c>
      <c r="K66" s="97">
        <v>1</v>
      </c>
      <c r="L66" s="98">
        <v>8.0000000000000002E-3</v>
      </c>
      <c r="M66" s="98">
        <f t="shared" si="8"/>
        <v>8.0000000000000002E-3</v>
      </c>
      <c r="N66" s="123"/>
      <c r="O66" s="126" t="s">
        <v>163</v>
      </c>
      <c r="P66" s="97">
        <v>1</v>
      </c>
      <c r="Q66" s="98">
        <v>0.01</v>
      </c>
      <c r="R66" s="98">
        <f t="shared" si="9"/>
        <v>0.01</v>
      </c>
      <c r="S66" s="123"/>
      <c r="T66" s="126" t="s">
        <v>170</v>
      </c>
      <c r="U66" s="97">
        <v>1</v>
      </c>
      <c r="V66" s="129">
        <v>0.01</v>
      </c>
      <c r="W66" s="98">
        <f t="shared" si="10"/>
        <v>0.01</v>
      </c>
    </row>
    <row r="67" spans="2:23" ht="14.5" x14ac:dyDescent="0.35">
      <c r="B67" s="17"/>
      <c r="C67" s="17"/>
      <c r="D67" s="17"/>
      <c r="E67" s="17"/>
      <c r="F67" s="17"/>
      <c r="G67" s="17"/>
      <c r="H67" s="17"/>
      <c r="J67" s="126" t="s">
        <v>171</v>
      </c>
      <c r="K67" s="97">
        <v>1</v>
      </c>
      <c r="L67" s="98">
        <v>8.0000000000000002E-3</v>
      </c>
      <c r="M67" s="98">
        <f t="shared" si="8"/>
        <v>8.0000000000000002E-3</v>
      </c>
      <c r="N67" s="123"/>
      <c r="O67" s="126" t="s">
        <v>123</v>
      </c>
      <c r="P67" s="97">
        <v>1</v>
      </c>
      <c r="Q67" s="98">
        <v>0.01</v>
      </c>
      <c r="R67" s="98">
        <v>7.0000000000000001E-3</v>
      </c>
      <c r="S67" s="123"/>
      <c r="T67" s="126" t="s">
        <v>172</v>
      </c>
      <c r="U67" s="97">
        <v>1</v>
      </c>
      <c r="V67" s="129">
        <v>0.01</v>
      </c>
      <c r="W67" s="98">
        <f t="shared" si="10"/>
        <v>0.01</v>
      </c>
    </row>
    <row r="68" spans="2:23" ht="14.5" x14ac:dyDescent="0.35">
      <c r="B68" s="17"/>
      <c r="C68" s="17"/>
      <c r="D68" s="17"/>
      <c r="E68" s="17"/>
      <c r="F68" s="17"/>
      <c r="G68" s="17"/>
      <c r="H68" s="17"/>
      <c r="J68" s="126" t="s">
        <v>173</v>
      </c>
      <c r="K68" s="97">
        <v>1</v>
      </c>
      <c r="L68" s="98">
        <v>8.0000000000000002E-3</v>
      </c>
      <c r="M68" s="98">
        <f>K68*L68</f>
        <v>8.0000000000000002E-3</v>
      </c>
      <c r="N68" s="123"/>
      <c r="O68" s="148"/>
      <c r="P68" s="152">
        <f>SUM(P58:P67)</f>
        <v>10</v>
      </c>
      <c r="Q68" s="157"/>
      <c r="R68" s="153">
        <f>SUM(R58:R67)</f>
        <v>0.10399999999999998</v>
      </c>
      <c r="S68" s="123"/>
      <c r="T68" s="126" t="s">
        <v>123</v>
      </c>
      <c r="U68" s="97">
        <v>1</v>
      </c>
      <c r="V68" s="129">
        <v>0.01</v>
      </c>
      <c r="W68" s="98">
        <f t="shared" si="10"/>
        <v>0.01</v>
      </c>
    </row>
    <row r="69" spans="2:23" ht="14.5" x14ac:dyDescent="0.35">
      <c r="B69" s="17"/>
      <c r="C69" s="17"/>
      <c r="D69" s="17"/>
      <c r="E69" s="17"/>
      <c r="F69" s="17"/>
      <c r="G69" s="17"/>
      <c r="H69" s="17"/>
      <c r="J69" s="123"/>
      <c r="K69" s="101">
        <f>SUM(K58:K68)</f>
        <v>11</v>
      </c>
      <c r="L69" s="100"/>
      <c r="M69" s="102">
        <f>SUM(M58:M68)</f>
        <v>0.10400000000000004</v>
      </c>
      <c r="N69" s="123"/>
      <c r="O69" s="17"/>
      <c r="P69" s="17"/>
      <c r="Q69" s="17"/>
      <c r="R69" s="17"/>
      <c r="S69" s="123"/>
      <c r="T69" s="148"/>
      <c r="U69" s="152">
        <f>SUM(U58:U68)</f>
        <v>11</v>
      </c>
      <c r="V69" s="125"/>
      <c r="W69" s="153">
        <f>SUM(W58:W68)</f>
        <v>0.13899999999999998</v>
      </c>
    </row>
    <row r="70" spans="2:23" ht="14.5" x14ac:dyDescent="0.35">
      <c r="B70" s="17"/>
      <c r="C70" s="17"/>
      <c r="D70" s="17"/>
      <c r="E70" s="17"/>
      <c r="F70" s="17"/>
      <c r="G70" s="17"/>
      <c r="H70" s="17"/>
      <c r="J70" s="123"/>
      <c r="K70" s="123"/>
      <c r="L70" s="123"/>
      <c r="M70" s="123"/>
      <c r="N70" s="123"/>
      <c r="O70" s="17"/>
      <c r="P70" s="17"/>
      <c r="Q70" s="158"/>
      <c r="R70" s="17"/>
      <c r="S70" s="123"/>
    </row>
    <row r="71" spans="2:23" ht="14.5" x14ac:dyDescent="0.35">
      <c r="B71" s="17"/>
      <c r="C71" s="17"/>
      <c r="D71" s="17"/>
      <c r="E71" s="17"/>
      <c r="F71" s="17"/>
      <c r="G71" s="17"/>
      <c r="H71" s="17"/>
      <c r="J71" s="123"/>
      <c r="K71" s="123"/>
      <c r="L71" s="123"/>
      <c r="N71" s="123"/>
      <c r="O71" s="123"/>
      <c r="P71" s="123"/>
      <c r="Q71" s="123"/>
      <c r="R71" s="123"/>
      <c r="S71" s="123"/>
    </row>
    <row r="72" spans="2:23" ht="14.5" x14ac:dyDescent="0.35">
      <c r="B72" s="17"/>
      <c r="C72" s="17"/>
      <c r="D72" s="17"/>
      <c r="E72" s="17"/>
      <c r="F72" s="17"/>
      <c r="G72" s="17"/>
      <c r="H72" s="17"/>
      <c r="J72" s="118" t="s">
        <v>77</v>
      </c>
      <c r="K72" s="118" t="s">
        <v>77</v>
      </c>
      <c r="L72" s="118" t="s">
        <v>77</v>
      </c>
      <c r="M72" s="118" t="s">
        <v>77</v>
      </c>
      <c r="N72" s="123" t="s">
        <v>77</v>
      </c>
      <c r="O72" s="118" t="s">
        <v>77</v>
      </c>
      <c r="P72" s="118" t="s">
        <v>77</v>
      </c>
      <c r="Q72" s="118" t="s">
        <v>77</v>
      </c>
      <c r="R72" s="118" t="s">
        <v>77</v>
      </c>
      <c r="S72" s="123" t="s">
        <v>77</v>
      </c>
      <c r="T72" s="118" t="s">
        <v>77</v>
      </c>
      <c r="U72" s="118" t="s">
        <v>77</v>
      </c>
      <c r="V72" s="118" t="s">
        <v>77</v>
      </c>
      <c r="W72" s="118" t="s">
        <v>77</v>
      </c>
    </row>
    <row r="73" spans="2:23" ht="14.5" x14ac:dyDescent="0.35">
      <c r="B73" s="17"/>
      <c r="C73" s="17"/>
      <c r="D73" s="17"/>
      <c r="E73" s="17"/>
      <c r="F73" s="17"/>
      <c r="G73" s="17"/>
      <c r="H73" s="17"/>
      <c r="J73" s="197" t="s">
        <v>174</v>
      </c>
      <c r="K73" s="198"/>
      <c r="L73" s="198"/>
      <c r="M73" s="199"/>
      <c r="N73" s="123"/>
      <c r="O73" s="197" t="s">
        <v>175</v>
      </c>
      <c r="P73" s="198"/>
      <c r="Q73" s="198"/>
      <c r="R73" s="199"/>
      <c r="S73" s="123"/>
      <c r="T73" s="197" t="s">
        <v>176</v>
      </c>
      <c r="U73" s="198"/>
      <c r="V73" s="198"/>
      <c r="W73" s="199"/>
    </row>
    <row r="74" spans="2:23" ht="14.5" x14ac:dyDescent="0.35">
      <c r="B74" s="17"/>
      <c r="C74" s="17"/>
      <c r="D74" s="17"/>
      <c r="E74" s="17"/>
      <c r="F74" s="17"/>
      <c r="G74" s="17"/>
      <c r="H74" s="17"/>
      <c r="J74" s="95" t="s">
        <v>84</v>
      </c>
      <c r="K74" s="96" t="s">
        <v>85</v>
      </c>
      <c r="L74" s="96" t="s">
        <v>86</v>
      </c>
      <c r="M74" s="96" t="s">
        <v>87</v>
      </c>
      <c r="N74" s="123"/>
      <c r="O74" s="95" t="s">
        <v>84</v>
      </c>
      <c r="P74" s="96" t="s">
        <v>85</v>
      </c>
      <c r="Q74" s="96" t="s">
        <v>86</v>
      </c>
      <c r="R74" s="96" t="s">
        <v>87</v>
      </c>
      <c r="S74" s="123"/>
      <c r="T74" s="95" t="s">
        <v>84</v>
      </c>
      <c r="U74" s="96" t="s">
        <v>85</v>
      </c>
      <c r="V74" s="96" t="s">
        <v>86</v>
      </c>
      <c r="W74" s="96" t="s">
        <v>87</v>
      </c>
    </row>
    <row r="75" spans="2:23" ht="14.5" x14ac:dyDescent="0.35">
      <c r="B75" s="17"/>
      <c r="C75" s="17"/>
      <c r="D75" s="17"/>
      <c r="E75" s="17"/>
      <c r="F75" s="17"/>
      <c r="G75" s="17"/>
      <c r="H75" s="17"/>
      <c r="J75" s="126" t="s">
        <v>88</v>
      </c>
      <c r="K75" s="97">
        <v>1</v>
      </c>
      <c r="L75" s="129">
        <v>5.0000000000000001E-3</v>
      </c>
      <c r="M75" s="98">
        <f>K75*L75</f>
        <v>5.0000000000000001E-3</v>
      </c>
      <c r="N75" s="123"/>
      <c r="O75" s="126" t="s">
        <v>88</v>
      </c>
      <c r="P75" s="97">
        <v>1</v>
      </c>
      <c r="Q75" s="129">
        <v>5.0000000000000001E-3</v>
      </c>
      <c r="R75" s="98">
        <f>P75*Q75</f>
        <v>5.0000000000000001E-3</v>
      </c>
      <c r="S75" s="123"/>
      <c r="T75" s="126" t="s">
        <v>88</v>
      </c>
      <c r="U75" s="97">
        <v>1</v>
      </c>
      <c r="V75" s="129">
        <v>5.0000000000000001E-3</v>
      </c>
      <c r="W75" s="98">
        <f>U75*V75</f>
        <v>5.0000000000000001E-3</v>
      </c>
    </row>
    <row r="76" spans="2:23" ht="14.5" x14ac:dyDescent="0.35">
      <c r="B76" s="17"/>
      <c r="C76" s="17"/>
      <c r="D76" s="17"/>
      <c r="E76" s="17"/>
      <c r="F76" s="17"/>
      <c r="G76" s="17"/>
      <c r="H76" s="17"/>
      <c r="J76" s="126" t="s">
        <v>89</v>
      </c>
      <c r="K76" s="97">
        <v>1</v>
      </c>
      <c r="L76" s="129">
        <v>5.0000000000000001E-3</v>
      </c>
      <c r="M76" s="98">
        <f t="shared" ref="M76:M85" si="11">K76*L76</f>
        <v>5.0000000000000001E-3</v>
      </c>
      <c r="N76" s="123"/>
      <c r="O76" s="126" t="s">
        <v>89</v>
      </c>
      <c r="P76" s="97">
        <v>1</v>
      </c>
      <c r="Q76" s="129">
        <v>5.0000000000000001E-3</v>
      </c>
      <c r="R76" s="98">
        <f t="shared" ref="R76:R85" si="12">P76*Q76</f>
        <v>5.0000000000000001E-3</v>
      </c>
      <c r="S76" s="123"/>
      <c r="T76" s="126" t="s">
        <v>89</v>
      </c>
      <c r="U76" s="97">
        <v>1</v>
      </c>
      <c r="V76" s="129">
        <v>5.0000000000000001E-3</v>
      </c>
      <c r="W76" s="98">
        <f t="shared" ref="W76:W85" si="13">U76*V76</f>
        <v>5.0000000000000001E-3</v>
      </c>
    </row>
    <row r="77" spans="2:23" ht="14.5" x14ac:dyDescent="0.35">
      <c r="B77" s="17"/>
      <c r="C77" s="17"/>
      <c r="D77" s="17"/>
      <c r="E77" s="17"/>
      <c r="F77" s="17"/>
      <c r="G77" s="17"/>
      <c r="H77" s="17"/>
      <c r="J77" s="126" t="s">
        <v>90</v>
      </c>
      <c r="K77" s="97">
        <v>1</v>
      </c>
      <c r="L77" s="129">
        <v>5.0000000000000001E-3</v>
      </c>
      <c r="M77" s="98">
        <f t="shared" si="11"/>
        <v>5.0000000000000001E-3</v>
      </c>
      <c r="N77" s="123"/>
      <c r="O77" s="126" t="s">
        <v>90</v>
      </c>
      <c r="P77" s="97">
        <v>1</v>
      </c>
      <c r="Q77" s="129">
        <v>5.0000000000000001E-3</v>
      </c>
      <c r="R77" s="98">
        <f t="shared" si="12"/>
        <v>5.0000000000000001E-3</v>
      </c>
      <c r="S77" s="123"/>
      <c r="T77" s="126" t="s">
        <v>90</v>
      </c>
      <c r="U77" s="97">
        <v>1</v>
      </c>
      <c r="V77" s="129">
        <v>5.0000000000000001E-3</v>
      </c>
      <c r="W77" s="98">
        <f t="shared" si="13"/>
        <v>5.0000000000000001E-3</v>
      </c>
    </row>
    <row r="78" spans="2:23" ht="14.5" x14ac:dyDescent="0.35">
      <c r="B78" s="17"/>
      <c r="C78" s="17"/>
      <c r="D78" s="17"/>
      <c r="E78" s="17"/>
      <c r="F78" s="17"/>
      <c r="G78" s="17"/>
      <c r="H78" s="17"/>
      <c r="J78" s="126" t="s">
        <v>177</v>
      </c>
      <c r="K78" s="97">
        <v>1</v>
      </c>
      <c r="L78" s="129">
        <v>2.5000000000000001E-3</v>
      </c>
      <c r="M78" s="98">
        <f t="shared" si="11"/>
        <v>2.5000000000000001E-3</v>
      </c>
      <c r="N78" s="123"/>
      <c r="O78" s="126" t="s">
        <v>177</v>
      </c>
      <c r="P78" s="97">
        <v>1</v>
      </c>
      <c r="Q78" s="129">
        <v>2.5000000000000001E-3</v>
      </c>
      <c r="R78" s="98">
        <f t="shared" si="12"/>
        <v>2.5000000000000001E-3</v>
      </c>
      <c r="S78" s="123"/>
      <c r="T78" s="126" t="s">
        <v>177</v>
      </c>
      <c r="U78" s="97">
        <v>1</v>
      </c>
      <c r="V78" s="129">
        <v>2.5000000000000001E-3</v>
      </c>
      <c r="W78" s="98">
        <f t="shared" si="13"/>
        <v>2.5000000000000001E-3</v>
      </c>
    </row>
    <row r="79" spans="2:23" ht="14.5" x14ac:dyDescent="0.35">
      <c r="B79" s="17"/>
      <c r="C79" s="17"/>
      <c r="D79" s="17"/>
      <c r="E79" s="17"/>
      <c r="F79" s="17"/>
      <c r="G79" s="17"/>
      <c r="H79" s="17"/>
      <c r="J79" s="126" t="s">
        <v>91</v>
      </c>
      <c r="K79" s="97">
        <v>1</v>
      </c>
      <c r="L79" s="129">
        <v>2.5000000000000001E-3</v>
      </c>
      <c r="M79" s="98">
        <f t="shared" si="11"/>
        <v>2.5000000000000001E-3</v>
      </c>
      <c r="N79" s="123"/>
      <c r="O79" s="126" t="s">
        <v>91</v>
      </c>
      <c r="P79" s="97">
        <v>1</v>
      </c>
      <c r="Q79" s="129">
        <v>2.5000000000000001E-3</v>
      </c>
      <c r="R79" s="98">
        <f t="shared" si="12"/>
        <v>2.5000000000000001E-3</v>
      </c>
      <c r="S79" s="123"/>
      <c r="T79" s="126" t="s">
        <v>91</v>
      </c>
      <c r="U79" s="97">
        <v>1</v>
      </c>
      <c r="V79" s="129">
        <v>2.5000000000000001E-3</v>
      </c>
      <c r="W79" s="98">
        <f t="shared" si="13"/>
        <v>2.5000000000000001E-3</v>
      </c>
    </row>
    <row r="80" spans="2:23" ht="14.5" x14ac:dyDescent="0.35">
      <c r="B80" s="17"/>
      <c r="C80" s="17"/>
      <c r="D80" s="17"/>
      <c r="E80" s="17"/>
      <c r="F80" s="17"/>
      <c r="G80" s="17"/>
      <c r="H80" s="17"/>
      <c r="J80" s="126" t="s">
        <v>178</v>
      </c>
      <c r="K80" s="97">
        <v>1</v>
      </c>
      <c r="L80" s="129">
        <v>2.5000000000000001E-3</v>
      </c>
      <c r="M80" s="98">
        <f t="shared" si="11"/>
        <v>2.5000000000000001E-3</v>
      </c>
      <c r="N80" s="123"/>
      <c r="O80" s="126" t="s">
        <v>178</v>
      </c>
      <c r="P80" s="97">
        <v>1</v>
      </c>
      <c r="Q80" s="129">
        <v>2.5000000000000001E-3</v>
      </c>
      <c r="R80" s="98">
        <f t="shared" si="12"/>
        <v>2.5000000000000001E-3</v>
      </c>
      <c r="S80" s="123"/>
      <c r="T80" s="126" t="s">
        <v>178</v>
      </c>
      <c r="U80" s="97">
        <v>1</v>
      </c>
      <c r="V80" s="129">
        <v>2.5000000000000001E-3</v>
      </c>
      <c r="W80" s="98">
        <f t="shared" si="13"/>
        <v>2.5000000000000001E-3</v>
      </c>
    </row>
    <row r="81" spans="2:23" ht="14.5" x14ac:dyDescent="0.35">
      <c r="B81" s="17"/>
      <c r="C81" s="17"/>
      <c r="D81" s="17"/>
      <c r="E81" s="17"/>
      <c r="F81" s="17"/>
      <c r="G81" s="17"/>
      <c r="H81" s="17"/>
      <c r="J81" s="126" t="s">
        <v>179</v>
      </c>
      <c r="K81" s="97">
        <v>1</v>
      </c>
      <c r="L81" s="129">
        <v>2.5000000000000001E-3</v>
      </c>
      <c r="M81" s="98">
        <f t="shared" si="11"/>
        <v>2.5000000000000001E-3</v>
      </c>
      <c r="N81" s="123"/>
      <c r="O81" s="126" t="s">
        <v>179</v>
      </c>
      <c r="P81" s="97">
        <v>1</v>
      </c>
      <c r="Q81" s="129">
        <v>2.5000000000000001E-3</v>
      </c>
      <c r="R81" s="98">
        <f t="shared" si="12"/>
        <v>2.5000000000000001E-3</v>
      </c>
      <c r="S81" s="123"/>
      <c r="T81" s="126" t="s">
        <v>179</v>
      </c>
      <c r="U81" s="97">
        <v>1</v>
      </c>
      <c r="V81" s="129">
        <v>2.5000000000000001E-3</v>
      </c>
      <c r="W81" s="98">
        <f t="shared" si="13"/>
        <v>2.5000000000000001E-3</v>
      </c>
    </row>
    <row r="82" spans="2:23" ht="14.5" x14ac:dyDescent="0.35">
      <c r="B82" s="17"/>
      <c r="C82" s="17"/>
      <c r="D82" s="17"/>
      <c r="E82" s="17"/>
      <c r="F82" s="17"/>
      <c r="G82" s="17"/>
      <c r="H82" s="17"/>
      <c r="J82" s="126" t="s">
        <v>180</v>
      </c>
      <c r="K82" s="97">
        <v>1</v>
      </c>
      <c r="L82" s="129">
        <v>2.5000000000000001E-3</v>
      </c>
      <c r="M82" s="98">
        <f t="shared" si="11"/>
        <v>2.5000000000000001E-3</v>
      </c>
      <c r="N82" s="123"/>
      <c r="O82" s="126" t="s">
        <v>180</v>
      </c>
      <c r="P82" s="97">
        <v>1</v>
      </c>
      <c r="Q82" s="129">
        <v>2.5000000000000001E-3</v>
      </c>
      <c r="R82" s="98">
        <f t="shared" si="12"/>
        <v>2.5000000000000001E-3</v>
      </c>
      <c r="S82" s="123"/>
      <c r="T82" s="126" t="s">
        <v>180</v>
      </c>
      <c r="U82" s="97">
        <v>1</v>
      </c>
      <c r="V82" s="129">
        <v>2.5000000000000001E-3</v>
      </c>
      <c r="W82" s="98">
        <f t="shared" si="13"/>
        <v>2.5000000000000001E-3</v>
      </c>
    </row>
    <row r="83" spans="2:23" ht="14.5" x14ac:dyDescent="0.35">
      <c r="B83" s="17"/>
      <c r="C83" s="17"/>
      <c r="D83" s="17"/>
      <c r="E83" s="17"/>
      <c r="F83" s="17"/>
      <c r="G83" s="17"/>
      <c r="H83" s="17"/>
      <c r="J83" s="126" t="s">
        <v>181</v>
      </c>
      <c r="K83" s="97">
        <v>1</v>
      </c>
      <c r="L83" s="129">
        <v>2.5000000000000001E-3</v>
      </c>
      <c r="M83" s="98">
        <f t="shared" si="11"/>
        <v>2.5000000000000001E-3</v>
      </c>
      <c r="N83" s="123"/>
      <c r="O83" s="126" t="s">
        <v>181</v>
      </c>
      <c r="P83" s="97">
        <v>1</v>
      </c>
      <c r="Q83" s="129">
        <v>2.5000000000000001E-3</v>
      </c>
      <c r="R83" s="98">
        <f t="shared" si="12"/>
        <v>2.5000000000000001E-3</v>
      </c>
      <c r="S83" s="123"/>
      <c r="T83" s="126" t="s">
        <v>181</v>
      </c>
      <c r="U83" s="97">
        <v>1</v>
      </c>
      <c r="V83" s="129">
        <v>2.5000000000000001E-3</v>
      </c>
      <c r="W83" s="98">
        <f t="shared" si="13"/>
        <v>2.5000000000000001E-3</v>
      </c>
    </row>
    <row r="84" spans="2:23" ht="14.5" x14ac:dyDescent="0.35">
      <c r="B84" s="17"/>
      <c r="C84" s="17"/>
      <c r="D84" s="17"/>
      <c r="E84" s="17"/>
      <c r="F84" s="17"/>
      <c r="G84" s="17"/>
      <c r="H84" s="17"/>
      <c r="J84" s="126" t="s">
        <v>182</v>
      </c>
      <c r="K84" s="97">
        <v>1</v>
      </c>
      <c r="L84" s="129">
        <v>2.5000000000000001E-3</v>
      </c>
      <c r="M84" s="98">
        <f t="shared" si="11"/>
        <v>2.5000000000000001E-3</v>
      </c>
      <c r="N84" s="123"/>
      <c r="O84" s="126" t="s">
        <v>182</v>
      </c>
      <c r="P84" s="97">
        <v>1</v>
      </c>
      <c r="Q84" s="129">
        <v>2.5000000000000001E-3</v>
      </c>
      <c r="R84" s="98">
        <f t="shared" si="12"/>
        <v>2.5000000000000001E-3</v>
      </c>
      <c r="S84" s="123"/>
      <c r="T84" s="126" t="s">
        <v>182</v>
      </c>
      <c r="U84" s="97">
        <v>1</v>
      </c>
      <c r="V84" s="129">
        <v>2.5000000000000001E-3</v>
      </c>
      <c r="W84" s="98">
        <f t="shared" si="13"/>
        <v>2.5000000000000001E-3</v>
      </c>
    </row>
    <row r="85" spans="2:23" ht="14.5" x14ac:dyDescent="0.35">
      <c r="B85" s="17"/>
      <c r="C85" s="17"/>
      <c r="D85" s="17"/>
      <c r="E85" s="17"/>
      <c r="F85" s="17"/>
      <c r="G85" s="17"/>
      <c r="H85" s="17"/>
      <c r="J85" s="126" t="s">
        <v>123</v>
      </c>
      <c r="K85" s="128">
        <v>1</v>
      </c>
      <c r="L85" s="129">
        <v>2.5000000000000001E-3</v>
      </c>
      <c r="M85" s="98">
        <f t="shared" si="11"/>
        <v>2.5000000000000001E-3</v>
      </c>
      <c r="N85" s="123"/>
      <c r="O85" s="126" t="s">
        <v>123</v>
      </c>
      <c r="P85" s="128">
        <v>1</v>
      </c>
      <c r="Q85" s="129">
        <v>2.5000000000000001E-3</v>
      </c>
      <c r="R85" s="98">
        <f t="shared" si="12"/>
        <v>2.5000000000000001E-3</v>
      </c>
      <c r="S85" s="123"/>
      <c r="T85" s="126" t="s">
        <v>123</v>
      </c>
      <c r="U85" s="128">
        <v>1</v>
      </c>
      <c r="V85" s="129">
        <v>2.5000000000000001E-3</v>
      </c>
      <c r="W85" s="98">
        <f t="shared" si="13"/>
        <v>2.5000000000000001E-3</v>
      </c>
    </row>
    <row r="86" spans="2:23" ht="14.5" x14ac:dyDescent="0.35">
      <c r="B86" s="17"/>
      <c r="C86" s="17"/>
      <c r="D86" s="17"/>
      <c r="E86" s="17"/>
      <c r="F86" s="17"/>
      <c r="G86" s="17"/>
      <c r="H86" s="17"/>
      <c r="J86" s="135"/>
      <c r="K86" s="154">
        <f>SUM(K75:K85)</f>
        <v>11</v>
      </c>
      <c r="L86" s="125"/>
      <c r="M86" s="150">
        <f>SUM(M75:M85)</f>
        <v>3.4999999999999996E-2</v>
      </c>
      <c r="N86" s="123"/>
      <c r="O86" s="135"/>
      <c r="P86" s="154">
        <f>SUM(P75:P85)</f>
        <v>11</v>
      </c>
      <c r="Q86" s="125"/>
      <c r="R86" s="150">
        <f>SUM(R75:R85)</f>
        <v>3.4999999999999996E-2</v>
      </c>
      <c r="S86" s="123"/>
      <c r="T86" s="135"/>
      <c r="U86" s="154">
        <f>SUM(U75:U85)</f>
        <v>11</v>
      </c>
      <c r="V86" s="125"/>
      <c r="W86" s="150">
        <f>SUM(W75:W85)</f>
        <v>3.4999999999999996E-2</v>
      </c>
    </row>
    <row r="87" spans="2:23" ht="14.5" x14ac:dyDescent="0.35">
      <c r="B87" s="17"/>
      <c r="C87" s="17"/>
      <c r="D87" s="17"/>
      <c r="E87" s="17"/>
      <c r="F87" s="17"/>
      <c r="G87" s="17"/>
      <c r="H87" s="17"/>
      <c r="J87" s="123"/>
      <c r="K87" s="123"/>
      <c r="L87" s="123"/>
      <c r="M87" s="123"/>
      <c r="N87" s="123"/>
      <c r="O87" s="136"/>
      <c r="P87" s="133"/>
      <c r="Q87" s="120"/>
      <c r="R87" s="120"/>
      <c r="S87" s="123"/>
    </row>
    <row r="88" spans="2:23" ht="14.5" x14ac:dyDescent="0.35">
      <c r="B88" s="17"/>
      <c r="C88" s="17"/>
      <c r="D88" s="17"/>
      <c r="E88" s="17"/>
      <c r="F88" s="17"/>
      <c r="G88" s="17"/>
      <c r="H88" s="17"/>
      <c r="J88" s="123"/>
      <c r="K88" s="123"/>
      <c r="L88" s="123"/>
      <c r="M88" s="123"/>
      <c r="N88" s="123"/>
      <c r="O88" s="136"/>
      <c r="P88" s="133"/>
      <c r="Q88" s="120"/>
      <c r="R88" s="120"/>
      <c r="S88" s="123"/>
    </row>
    <row r="89" spans="2:23" ht="14.5" x14ac:dyDescent="0.35">
      <c r="B89" s="17"/>
      <c r="C89" s="17"/>
      <c r="D89" s="17"/>
      <c r="E89" s="17"/>
      <c r="F89" s="17"/>
      <c r="G89" s="17"/>
      <c r="H89" s="17"/>
      <c r="J89" s="118" t="s">
        <v>77</v>
      </c>
      <c r="K89" s="118" t="s">
        <v>77</v>
      </c>
      <c r="L89" s="118" t="s">
        <v>77</v>
      </c>
      <c r="M89" s="118" t="s">
        <v>77</v>
      </c>
      <c r="N89" s="123"/>
      <c r="O89" s="118" t="s">
        <v>77</v>
      </c>
      <c r="P89" s="118" t="s">
        <v>77</v>
      </c>
      <c r="Q89" s="118" t="s">
        <v>77</v>
      </c>
      <c r="R89" s="118" t="s">
        <v>77</v>
      </c>
      <c r="S89" s="123"/>
      <c r="T89" s="118" t="s">
        <v>77</v>
      </c>
      <c r="U89" s="118" t="s">
        <v>77</v>
      </c>
      <c r="V89" s="118" t="s">
        <v>77</v>
      </c>
      <c r="W89" s="118" t="s">
        <v>77</v>
      </c>
    </row>
    <row r="90" spans="2:23" ht="14.5" x14ac:dyDescent="0.35">
      <c r="B90" s="17"/>
      <c r="C90" s="17"/>
      <c r="D90" s="17"/>
      <c r="E90" s="17"/>
      <c r="F90" s="17"/>
      <c r="G90" s="17"/>
      <c r="H90" s="17"/>
      <c r="J90" s="197" t="s">
        <v>183</v>
      </c>
      <c r="K90" s="198"/>
      <c r="L90" s="198"/>
      <c r="M90" s="199"/>
      <c r="N90" s="123"/>
      <c r="O90" s="197" t="s">
        <v>184</v>
      </c>
      <c r="P90" s="198"/>
      <c r="Q90" s="198"/>
      <c r="R90" s="199"/>
      <c r="S90" s="123"/>
      <c r="T90" s="197" t="s">
        <v>185</v>
      </c>
      <c r="U90" s="198"/>
      <c r="V90" s="198"/>
      <c r="W90" s="199"/>
    </row>
    <row r="91" spans="2:23" ht="14.5" x14ac:dyDescent="0.35">
      <c r="B91" s="17"/>
      <c r="C91" s="17"/>
      <c r="D91" s="17"/>
      <c r="E91" s="17"/>
      <c r="F91" s="17"/>
      <c r="G91" s="17"/>
      <c r="H91" s="17"/>
      <c r="J91" s="95" t="s">
        <v>84</v>
      </c>
      <c r="K91" s="96" t="s">
        <v>85</v>
      </c>
      <c r="L91" s="96" t="s">
        <v>86</v>
      </c>
      <c r="M91" s="96" t="s">
        <v>87</v>
      </c>
      <c r="N91" s="123"/>
      <c r="O91" s="121" t="s">
        <v>84</v>
      </c>
      <c r="P91" s="96" t="s">
        <v>85</v>
      </c>
      <c r="Q91" s="96" t="s">
        <v>86</v>
      </c>
      <c r="R91" s="96" t="s">
        <v>87</v>
      </c>
      <c r="S91" s="123"/>
      <c r="T91" s="95" t="s">
        <v>84</v>
      </c>
      <c r="U91" s="96" t="s">
        <v>85</v>
      </c>
      <c r="V91" s="96" t="s">
        <v>86</v>
      </c>
      <c r="W91" s="96" t="s">
        <v>87</v>
      </c>
    </row>
    <row r="92" spans="2:23" ht="14.5" x14ac:dyDescent="0.35">
      <c r="B92" s="17"/>
      <c r="C92" s="17"/>
      <c r="D92" s="17"/>
      <c r="E92" s="17"/>
      <c r="F92" s="17"/>
      <c r="G92" s="17"/>
      <c r="H92" s="17"/>
      <c r="J92" s="126" t="s">
        <v>88</v>
      </c>
      <c r="K92" s="97">
        <v>1</v>
      </c>
      <c r="L92" s="129">
        <v>5.0000000000000001E-3</v>
      </c>
      <c r="M92" s="98">
        <f>K92*L92</f>
        <v>5.0000000000000001E-3</v>
      </c>
      <c r="N92" s="123"/>
      <c r="O92" s="126" t="s">
        <v>88</v>
      </c>
      <c r="P92" s="128">
        <v>1</v>
      </c>
      <c r="Q92" s="129">
        <v>6.0000000000000001E-3</v>
      </c>
      <c r="R92" s="98">
        <f t="shared" ref="R92:R106" si="14">P92*Q92</f>
        <v>6.0000000000000001E-3</v>
      </c>
      <c r="S92" s="123"/>
      <c r="T92" s="126" t="s">
        <v>88</v>
      </c>
      <c r="U92" s="97">
        <v>1</v>
      </c>
      <c r="V92" s="98">
        <v>0.01</v>
      </c>
      <c r="W92" s="98">
        <f>U92*V92</f>
        <v>0.01</v>
      </c>
    </row>
    <row r="93" spans="2:23" ht="14.5" x14ac:dyDescent="0.35">
      <c r="B93" s="17"/>
      <c r="C93" s="17"/>
      <c r="D93" s="17"/>
      <c r="E93" s="17"/>
      <c r="F93" s="17"/>
      <c r="G93" s="17"/>
      <c r="H93" s="17"/>
      <c r="J93" s="126" t="s">
        <v>89</v>
      </c>
      <c r="K93" s="97">
        <v>1</v>
      </c>
      <c r="L93" s="129">
        <v>5.0000000000000001E-3</v>
      </c>
      <c r="M93" s="98">
        <f t="shared" ref="M93:M103" si="15">K93*L93</f>
        <v>5.0000000000000001E-3</v>
      </c>
      <c r="N93" s="123"/>
      <c r="O93" s="126" t="s">
        <v>89</v>
      </c>
      <c r="P93" s="128">
        <v>1</v>
      </c>
      <c r="Q93" s="129">
        <v>3.0000000000000001E-3</v>
      </c>
      <c r="R93" s="98">
        <f t="shared" si="14"/>
        <v>3.0000000000000001E-3</v>
      </c>
      <c r="S93" s="123"/>
      <c r="T93" s="126" t="s">
        <v>89</v>
      </c>
      <c r="U93" s="97">
        <v>1</v>
      </c>
      <c r="V93" s="98">
        <v>0.01</v>
      </c>
      <c r="W93" s="98">
        <f t="shared" ref="W93:W101" si="16">U93*V93</f>
        <v>0.01</v>
      </c>
    </row>
    <row r="94" spans="2:23" ht="14.5" x14ac:dyDescent="0.35">
      <c r="B94" s="17"/>
      <c r="C94" s="17"/>
      <c r="D94" s="17"/>
      <c r="E94" s="17"/>
      <c r="F94" s="17"/>
      <c r="G94" s="17"/>
      <c r="H94" s="17"/>
      <c r="J94" s="126" t="s">
        <v>90</v>
      </c>
      <c r="K94" s="97">
        <v>1</v>
      </c>
      <c r="L94" s="129">
        <v>2.5000000000000001E-3</v>
      </c>
      <c r="M94" s="98">
        <f t="shared" si="15"/>
        <v>2.5000000000000001E-3</v>
      </c>
      <c r="N94" s="123"/>
      <c r="O94" s="126" t="s">
        <v>90</v>
      </c>
      <c r="P94" s="128">
        <v>1</v>
      </c>
      <c r="Q94" s="129">
        <v>3.0000000000000001E-3</v>
      </c>
      <c r="R94" s="98">
        <f t="shared" si="14"/>
        <v>3.0000000000000001E-3</v>
      </c>
      <c r="S94" s="123"/>
      <c r="T94" s="126" t="s">
        <v>90</v>
      </c>
      <c r="U94" s="97">
        <v>1</v>
      </c>
      <c r="V94" s="98">
        <v>0.01</v>
      </c>
      <c r="W94" s="98">
        <f t="shared" si="16"/>
        <v>0.01</v>
      </c>
    </row>
    <row r="95" spans="2:23" ht="14.5" x14ac:dyDescent="0.35">
      <c r="B95" s="17"/>
      <c r="C95" s="17"/>
      <c r="D95" s="17"/>
      <c r="E95" s="17"/>
      <c r="F95" s="17"/>
      <c r="G95" s="17"/>
      <c r="H95" s="17"/>
      <c r="J95" s="126" t="s">
        <v>177</v>
      </c>
      <c r="K95" s="97">
        <v>1</v>
      </c>
      <c r="L95" s="129">
        <v>2.5000000000000001E-3</v>
      </c>
      <c r="M95" s="98">
        <f t="shared" si="15"/>
        <v>2.5000000000000001E-3</v>
      </c>
      <c r="N95" s="123"/>
      <c r="O95" s="126" t="s">
        <v>186</v>
      </c>
      <c r="P95" s="128">
        <v>1</v>
      </c>
      <c r="Q95" s="129">
        <v>3.0000000000000001E-3</v>
      </c>
      <c r="R95" s="98">
        <f t="shared" si="14"/>
        <v>3.0000000000000001E-3</v>
      </c>
      <c r="S95" s="123"/>
      <c r="T95" s="126" t="s">
        <v>187</v>
      </c>
      <c r="U95" s="97">
        <v>1</v>
      </c>
      <c r="V95" s="98">
        <v>0.01</v>
      </c>
      <c r="W95" s="98">
        <f t="shared" si="16"/>
        <v>0.01</v>
      </c>
    </row>
    <row r="96" spans="2:23" ht="14.5" x14ac:dyDescent="0.35">
      <c r="B96" s="17"/>
      <c r="C96" s="17"/>
      <c r="D96" s="17"/>
      <c r="E96" s="17"/>
      <c r="F96" s="17"/>
      <c r="G96" s="17"/>
      <c r="H96" s="17"/>
      <c r="J96" s="126" t="s">
        <v>91</v>
      </c>
      <c r="K96" s="97">
        <v>1</v>
      </c>
      <c r="L96" s="129">
        <v>2.5000000000000001E-3</v>
      </c>
      <c r="M96" s="98">
        <f t="shared" si="15"/>
        <v>2.5000000000000001E-3</v>
      </c>
      <c r="N96" s="123"/>
      <c r="O96" s="126" t="s">
        <v>188</v>
      </c>
      <c r="P96" s="128">
        <v>1</v>
      </c>
      <c r="Q96" s="129">
        <v>3.0000000000000001E-3</v>
      </c>
      <c r="R96" s="98">
        <f t="shared" si="14"/>
        <v>3.0000000000000001E-3</v>
      </c>
      <c r="S96" s="123"/>
      <c r="T96" s="126" t="s">
        <v>91</v>
      </c>
      <c r="U96" s="97">
        <v>1</v>
      </c>
      <c r="V96" s="98">
        <v>8.9999999999999993E-3</v>
      </c>
      <c r="W96" s="98">
        <f t="shared" si="16"/>
        <v>8.9999999999999993E-3</v>
      </c>
    </row>
    <row r="97" spans="2:23" ht="14.5" x14ac:dyDescent="0.35">
      <c r="B97" s="17"/>
      <c r="C97" s="17"/>
      <c r="D97" s="17"/>
      <c r="E97" s="17"/>
      <c r="F97" s="17"/>
      <c r="G97" s="17"/>
      <c r="H97" s="17"/>
      <c r="J97" s="126" t="s">
        <v>178</v>
      </c>
      <c r="K97" s="97">
        <v>1</v>
      </c>
      <c r="L97" s="129">
        <v>2.5000000000000001E-3</v>
      </c>
      <c r="M97" s="98">
        <f t="shared" si="15"/>
        <v>2.5000000000000001E-3</v>
      </c>
      <c r="N97" s="123"/>
      <c r="O97" s="126" t="s">
        <v>189</v>
      </c>
      <c r="P97" s="128">
        <v>1</v>
      </c>
      <c r="Q97" s="129">
        <v>3.0000000000000001E-3</v>
      </c>
      <c r="R97" s="98">
        <f t="shared" si="14"/>
        <v>3.0000000000000001E-3</v>
      </c>
      <c r="S97" s="123"/>
      <c r="T97" s="126" t="s">
        <v>190</v>
      </c>
      <c r="U97" s="97">
        <v>1</v>
      </c>
      <c r="V97" s="98">
        <v>4.0000000000000001E-3</v>
      </c>
      <c r="W97" s="98">
        <f t="shared" si="16"/>
        <v>4.0000000000000001E-3</v>
      </c>
    </row>
    <row r="98" spans="2:23" ht="14.5" x14ac:dyDescent="0.35">
      <c r="B98" s="17"/>
      <c r="C98" s="17"/>
      <c r="D98" s="17"/>
      <c r="E98" s="17"/>
      <c r="F98" s="17"/>
      <c r="G98" s="17"/>
      <c r="H98" s="17"/>
      <c r="J98" s="126" t="s">
        <v>179</v>
      </c>
      <c r="K98" s="97">
        <v>1</v>
      </c>
      <c r="L98" s="129">
        <v>2.5000000000000001E-3</v>
      </c>
      <c r="M98" s="98">
        <f t="shared" si="15"/>
        <v>2.5000000000000001E-3</v>
      </c>
      <c r="N98" s="123"/>
      <c r="O98" s="126" t="s">
        <v>191</v>
      </c>
      <c r="P98" s="128">
        <v>1</v>
      </c>
      <c r="Q98" s="129">
        <v>3.0000000000000001E-3</v>
      </c>
      <c r="R98" s="98">
        <f t="shared" si="14"/>
        <v>3.0000000000000001E-3</v>
      </c>
      <c r="S98" s="123"/>
      <c r="T98" s="126" t="s">
        <v>192</v>
      </c>
      <c r="U98" s="97">
        <v>1</v>
      </c>
      <c r="V98" s="98">
        <v>4.0000000000000001E-3</v>
      </c>
      <c r="W98" s="98">
        <f t="shared" si="16"/>
        <v>4.0000000000000001E-3</v>
      </c>
    </row>
    <row r="99" spans="2:23" ht="14.5" x14ac:dyDescent="0.35">
      <c r="B99" s="17"/>
      <c r="C99" s="17"/>
      <c r="D99" s="17"/>
      <c r="E99" s="17"/>
      <c r="F99" s="17"/>
      <c r="G99" s="17"/>
      <c r="H99" s="17"/>
      <c r="J99" s="126" t="s">
        <v>180</v>
      </c>
      <c r="K99" s="97">
        <v>1</v>
      </c>
      <c r="L99" s="129">
        <v>2.5000000000000001E-3</v>
      </c>
      <c r="M99" s="98">
        <f t="shared" si="15"/>
        <v>2.5000000000000001E-3</v>
      </c>
      <c r="N99" s="123"/>
      <c r="O99" s="126" t="s">
        <v>193</v>
      </c>
      <c r="P99" s="128">
        <v>1</v>
      </c>
      <c r="Q99" s="129">
        <v>2E-3</v>
      </c>
      <c r="R99" s="98">
        <f t="shared" si="14"/>
        <v>2E-3</v>
      </c>
      <c r="S99" s="123"/>
      <c r="T99" s="126" t="s">
        <v>194</v>
      </c>
      <c r="U99" s="97">
        <v>1</v>
      </c>
      <c r="V99" s="98">
        <v>4.0000000000000001E-3</v>
      </c>
      <c r="W99" s="98">
        <f t="shared" si="16"/>
        <v>4.0000000000000001E-3</v>
      </c>
    </row>
    <row r="100" spans="2:23" ht="14.5" x14ac:dyDescent="0.35">
      <c r="B100" s="17"/>
      <c r="C100" s="17"/>
      <c r="D100" s="17"/>
      <c r="E100" s="17"/>
      <c r="F100" s="17"/>
      <c r="G100" s="17"/>
      <c r="H100" s="17"/>
      <c r="J100" s="126" t="s">
        <v>181</v>
      </c>
      <c r="K100" s="97">
        <v>1</v>
      </c>
      <c r="L100" s="129">
        <v>2.5000000000000001E-3</v>
      </c>
      <c r="M100" s="98">
        <f t="shared" si="15"/>
        <v>2.5000000000000001E-3</v>
      </c>
      <c r="N100" s="123"/>
      <c r="O100" s="126" t="s">
        <v>195</v>
      </c>
      <c r="P100" s="128">
        <v>1</v>
      </c>
      <c r="Q100" s="129">
        <v>2E-3</v>
      </c>
      <c r="R100" s="98">
        <f t="shared" si="14"/>
        <v>2E-3</v>
      </c>
      <c r="S100" s="123"/>
      <c r="T100" s="126" t="s">
        <v>196</v>
      </c>
      <c r="U100" s="97">
        <v>1</v>
      </c>
      <c r="V100" s="98">
        <v>4.0000000000000001E-3</v>
      </c>
      <c r="W100" s="98">
        <f t="shared" si="16"/>
        <v>4.0000000000000001E-3</v>
      </c>
    </row>
    <row r="101" spans="2:23" ht="14.5" x14ac:dyDescent="0.35">
      <c r="B101" s="17"/>
      <c r="C101" s="17"/>
      <c r="D101" s="17"/>
      <c r="E101" s="17"/>
      <c r="F101" s="17"/>
      <c r="G101" s="17"/>
      <c r="H101" s="17"/>
      <c r="J101" s="126" t="s">
        <v>182</v>
      </c>
      <c r="K101" s="97">
        <v>1</v>
      </c>
      <c r="L101" s="129">
        <v>2.5000000000000001E-3</v>
      </c>
      <c r="M101" s="98">
        <f t="shared" si="15"/>
        <v>2.5000000000000001E-3</v>
      </c>
      <c r="N101" s="123"/>
      <c r="O101" s="126" t="s">
        <v>197</v>
      </c>
      <c r="P101" s="128">
        <v>1</v>
      </c>
      <c r="Q101" s="129">
        <v>2E-3</v>
      </c>
      <c r="R101" s="98">
        <f t="shared" si="14"/>
        <v>2E-3</v>
      </c>
      <c r="S101" s="123"/>
      <c r="T101" s="126" t="s">
        <v>123</v>
      </c>
      <c r="U101" s="97">
        <v>1</v>
      </c>
      <c r="V101" s="98">
        <v>4.0000000000000001E-3</v>
      </c>
      <c r="W101" s="98">
        <f t="shared" si="16"/>
        <v>4.0000000000000001E-3</v>
      </c>
    </row>
    <row r="102" spans="2:23" ht="14.5" x14ac:dyDescent="0.35">
      <c r="B102" s="17"/>
      <c r="C102" s="17"/>
      <c r="D102" s="17"/>
      <c r="E102" s="17"/>
      <c r="F102" s="17"/>
      <c r="G102" s="17"/>
      <c r="H102" s="17"/>
      <c r="J102" s="126" t="s">
        <v>198</v>
      </c>
      <c r="K102" s="97">
        <v>1</v>
      </c>
      <c r="L102" s="129">
        <v>2.5000000000000001E-3</v>
      </c>
      <c r="M102" s="98">
        <f t="shared" si="15"/>
        <v>2.5000000000000001E-3</v>
      </c>
      <c r="N102" s="123"/>
      <c r="O102" s="126" t="s">
        <v>199</v>
      </c>
      <c r="P102" s="128">
        <v>1</v>
      </c>
      <c r="Q102" s="129">
        <v>2E-3</v>
      </c>
      <c r="R102" s="98">
        <f t="shared" si="14"/>
        <v>2E-3</v>
      </c>
      <c r="S102" s="123"/>
      <c r="T102" s="119"/>
      <c r="U102" s="130">
        <f>SUM(U92:U101)</f>
        <v>10</v>
      </c>
      <c r="V102" s="120"/>
      <c r="W102" s="131">
        <f>SUM(W92:W101)</f>
        <v>6.900000000000002E-2</v>
      </c>
    </row>
    <row r="103" spans="2:23" ht="14.5" x14ac:dyDescent="0.35">
      <c r="B103" s="17"/>
      <c r="C103" s="17"/>
      <c r="D103" s="17"/>
      <c r="E103" s="17"/>
      <c r="F103" s="17"/>
      <c r="G103" s="17"/>
      <c r="H103" s="17"/>
      <c r="J103" s="126" t="s">
        <v>123</v>
      </c>
      <c r="K103" s="128">
        <v>1</v>
      </c>
      <c r="L103" s="129">
        <v>2.5000000000000001E-3</v>
      </c>
      <c r="M103" s="98">
        <f t="shared" si="15"/>
        <v>2.5000000000000001E-3</v>
      </c>
      <c r="N103" s="123"/>
      <c r="O103" s="126" t="s">
        <v>200</v>
      </c>
      <c r="P103" s="128">
        <v>1</v>
      </c>
      <c r="Q103" s="129">
        <v>2E-3</v>
      </c>
      <c r="R103" s="98">
        <f t="shared" si="14"/>
        <v>2E-3</v>
      </c>
      <c r="S103" s="123"/>
    </row>
    <row r="104" spans="2:23" ht="14.5" x14ac:dyDescent="0.35">
      <c r="B104" s="17"/>
      <c r="C104" s="17"/>
      <c r="D104" s="17"/>
      <c r="E104" s="17"/>
      <c r="F104" s="17"/>
      <c r="G104" s="17"/>
      <c r="H104" s="17"/>
      <c r="J104" s="135"/>
      <c r="K104" s="154">
        <f>SUM(K92:K103)</f>
        <v>12</v>
      </c>
      <c r="L104" s="125"/>
      <c r="M104" s="150">
        <f>SUM(M92:M103)</f>
        <v>3.4999999999999996E-2</v>
      </c>
      <c r="N104" s="123"/>
      <c r="O104" s="126" t="s">
        <v>201</v>
      </c>
      <c r="P104" s="128">
        <v>1</v>
      </c>
      <c r="Q104" s="129">
        <v>2E-3</v>
      </c>
      <c r="R104" s="98">
        <f t="shared" si="14"/>
        <v>2E-3</v>
      </c>
      <c r="S104" s="123"/>
    </row>
    <row r="105" spans="2:23" ht="14.5" x14ac:dyDescent="0.35">
      <c r="B105" s="17"/>
      <c r="C105" s="17"/>
      <c r="D105" s="17"/>
      <c r="E105" s="17"/>
      <c r="F105" s="17"/>
      <c r="G105" s="17"/>
      <c r="H105" s="17"/>
      <c r="J105" s="17"/>
      <c r="K105" s="17"/>
      <c r="L105" s="17"/>
      <c r="M105" s="17"/>
      <c r="N105" s="123"/>
      <c r="O105" s="126" t="s">
        <v>202</v>
      </c>
      <c r="P105" s="128">
        <v>1</v>
      </c>
      <c r="Q105" s="129">
        <v>2E-3</v>
      </c>
      <c r="R105" s="98">
        <f t="shared" si="14"/>
        <v>2E-3</v>
      </c>
      <c r="S105" s="123"/>
    </row>
    <row r="106" spans="2:23" ht="14.5" x14ac:dyDescent="0.35">
      <c r="B106" s="17"/>
      <c r="C106" s="17"/>
      <c r="D106" s="17"/>
      <c r="E106" s="17"/>
      <c r="F106" s="17"/>
      <c r="G106" s="17"/>
      <c r="H106" s="17"/>
      <c r="J106" s="17"/>
      <c r="K106" s="17"/>
      <c r="L106" s="17"/>
      <c r="M106" s="17"/>
      <c r="N106" s="123"/>
      <c r="O106" s="126" t="s">
        <v>203</v>
      </c>
      <c r="P106" s="128">
        <v>1</v>
      </c>
      <c r="Q106" s="129">
        <v>2E-3</v>
      </c>
      <c r="R106" s="98">
        <f t="shared" si="14"/>
        <v>2E-3</v>
      </c>
      <c r="S106" s="123"/>
    </row>
    <row r="107" spans="2:23" ht="14.5" x14ac:dyDescent="0.35">
      <c r="B107" s="17"/>
      <c r="C107" s="17"/>
      <c r="D107" s="17"/>
      <c r="E107" s="17"/>
      <c r="F107" s="17"/>
      <c r="G107" s="17"/>
      <c r="H107" s="17"/>
      <c r="J107" s="123"/>
      <c r="K107" s="123"/>
      <c r="L107" s="123"/>
      <c r="M107" s="123"/>
      <c r="N107" s="123"/>
      <c r="O107" s="126" t="s">
        <v>123</v>
      </c>
      <c r="P107" s="128">
        <v>1</v>
      </c>
      <c r="Q107" s="129">
        <v>2E-3</v>
      </c>
      <c r="R107" s="98">
        <f t="shared" ref="R107" si="17">P107*Q107</f>
        <v>2E-3</v>
      </c>
      <c r="S107" s="123"/>
    </row>
    <row r="108" spans="2:23" ht="14.5" x14ac:dyDescent="0.35">
      <c r="B108" s="17"/>
      <c r="C108" s="17"/>
      <c r="D108" s="17"/>
      <c r="E108" s="17"/>
      <c r="F108" s="17"/>
      <c r="G108" s="17"/>
      <c r="H108" s="17"/>
      <c r="J108" s="17"/>
      <c r="K108" s="17"/>
      <c r="L108" s="17"/>
      <c r="M108" s="17"/>
      <c r="N108" s="123" t="s">
        <v>77</v>
      </c>
      <c r="O108" s="124"/>
      <c r="P108" s="137">
        <f>SUM(P92:P107)</f>
        <v>16</v>
      </c>
      <c r="Q108" s="100"/>
      <c r="R108" s="102">
        <f>SUM(R92:R107)</f>
        <v>4.200000000000001E-2</v>
      </c>
      <c r="S108" s="123" t="s">
        <v>77</v>
      </c>
    </row>
    <row r="109" spans="2:23" ht="14.5" x14ac:dyDescent="0.35">
      <c r="B109" s="17"/>
      <c r="C109" s="17"/>
      <c r="D109" s="17"/>
      <c r="E109" s="17"/>
      <c r="F109" s="17"/>
      <c r="G109" s="17"/>
      <c r="H109" s="17"/>
      <c r="J109" s="17"/>
      <c r="K109" s="17"/>
      <c r="L109" s="17"/>
      <c r="M109" s="17"/>
      <c r="N109" s="123"/>
      <c r="O109" s="17"/>
      <c r="P109" s="17"/>
      <c r="Q109" s="17"/>
      <c r="R109" s="17"/>
      <c r="S109" s="123"/>
    </row>
    <row r="110" spans="2:23" ht="14.5" x14ac:dyDescent="0.35">
      <c r="B110" s="17"/>
      <c r="C110" s="17"/>
      <c r="D110" s="17"/>
      <c r="E110" s="17"/>
      <c r="F110" s="17"/>
      <c r="G110" s="17"/>
      <c r="H110" s="17"/>
      <c r="J110" s="17"/>
      <c r="K110" s="17"/>
      <c r="L110" s="17"/>
      <c r="M110" s="17"/>
      <c r="N110" s="123"/>
      <c r="O110" s="17"/>
      <c r="P110" s="17"/>
      <c r="Q110" s="17"/>
      <c r="R110" s="17"/>
      <c r="S110" s="123"/>
    </row>
    <row r="111" spans="2:23" ht="14.5" x14ac:dyDescent="0.35">
      <c r="B111" s="17"/>
      <c r="C111" s="17"/>
      <c r="D111" s="17"/>
      <c r="E111" s="17"/>
      <c r="F111" s="17"/>
      <c r="G111" s="17"/>
      <c r="H111" s="17"/>
      <c r="J111" s="17"/>
      <c r="K111" s="17"/>
      <c r="L111" s="17"/>
      <c r="M111" s="17"/>
      <c r="N111" s="123"/>
      <c r="O111" s="17"/>
      <c r="P111" s="17"/>
      <c r="Q111" s="17"/>
      <c r="R111" s="17"/>
      <c r="S111" s="123"/>
    </row>
    <row r="112" spans="2:23" ht="14.5" x14ac:dyDescent="0.35">
      <c r="B112" s="17"/>
      <c r="C112" s="17"/>
      <c r="D112" s="17"/>
      <c r="E112" s="17"/>
      <c r="F112" s="17"/>
      <c r="G112" s="17"/>
      <c r="H112" s="17"/>
      <c r="J112" s="17"/>
      <c r="K112" s="17"/>
      <c r="L112" s="17"/>
      <c r="M112" s="17"/>
      <c r="N112" s="123"/>
      <c r="O112" s="17"/>
      <c r="P112" s="17"/>
      <c r="Q112" s="17"/>
      <c r="R112" s="17"/>
      <c r="S112" s="17"/>
    </row>
    <row r="113" spans="2:19" ht="14.5" x14ac:dyDescent="0.35">
      <c r="B113" s="17"/>
      <c r="C113" s="17"/>
      <c r="D113" s="17"/>
      <c r="E113" s="17"/>
      <c r="F113" s="17"/>
      <c r="G113" s="17"/>
      <c r="H113" s="17"/>
      <c r="J113" s="17"/>
      <c r="K113" s="17"/>
      <c r="L113" s="17"/>
      <c r="M113" s="17"/>
      <c r="N113" s="123"/>
      <c r="O113" s="17"/>
      <c r="P113" s="17"/>
      <c r="Q113" s="17"/>
      <c r="R113" s="17"/>
      <c r="S113" s="17"/>
    </row>
    <row r="114" spans="2:19" ht="14.5" x14ac:dyDescent="0.35">
      <c r="B114" s="17"/>
      <c r="C114" s="17"/>
      <c r="D114" s="17"/>
      <c r="E114" s="17"/>
      <c r="F114" s="17"/>
      <c r="G114" s="17"/>
      <c r="H114" s="17"/>
      <c r="J114" s="17"/>
      <c r="K114" s="17"/>
      <c r="L114" s="17"/>
      <c r="M114" s="17"/>
      <c r="N114" s="123"/>
      <c r="O114" s="17"/>
      <c r="P114" s="17"/>
      <c r="Q114" s="17"/>
      <c r="R114" s="17"/>
      <c r="S114" s="17"/>
    </row>
    <row r="115" spans="2:19" ht="14.5" x14ac:dyDescent="0.35">
      <c r="B115" s="17"/>
      <c r="C115" s="17"/>
      <c r="D115" s="17"/>
      <c r="E115" s="17"/>
      <c r="F115" s="17"/>
      <c r="G115" s="17"/>
      <c r="H115" s="17"/>
      <c r="J115" s="17"/>
      <c r="K115" s="17"/>
      <c r="L115" s="17"/>
      <c r="M115" s="17"/>
      <c r="N115" s="123"/>
      <c r="O115" s="17"/>
      <c r="P115" s="17"/>
      <c r="Q115" s="17"/>
      <c r="R115" s="17"/>
      <c r="S115" s="17"/>
    </row>
    <row r="116" spans="2:19" ht="14.5" x14ac:dyDescent="0.35">
      <c r="B116" s="17"/>
      <c r="C116" s="17"/>
      <c r="D116" s="17"/>
      <c r="E116" s="17"/>
      <c r="F116" s="17"/>
      <c r="G116" s="17"/>
      <c r="H116" s="17"/>
      <c r="J116" s="17"/>
      <c r="K116" s="17"/>
      <c r="L116" s="17"/>
      <c r="M116" s="17"/>
      <c r="N116" s="123"/>
      <c r="O116" s="17"/>
      <c r="P116" s="17"/>
      <c r="Q116" s="17"/>
      <c r="R116" s="17"/>
      <c r="S116" s="17"/>
    </row>
    <row r="117" spans="2:19" ht="14.5" x14ac:dyDescent="0.35">
      <c r="B117" s="17"/>
      <c r="C117" s="17"/>
      <c r="D117" s="17"/>
      <c r="E117" s="17"/>
      <c r="F117" s="17"/>
      <c r="G117" s="17"/>
      <c r="H117" s="17"/>
      <c r="J117" s="17"/>
      <c r="K117" s="17"/>
      <c r="L117" s="17"/>
      <c r="M117" s="17"/>
      <c r="N117" s="123"/>
      <c r="O117" s="17"/>
      <c r="P117" s="17"/>
      <c r="Q117" s="17"/>
      <c r="R117" s="17"/>
      <c r="S117" s="17"/>
    </row>
    <row r="118" spans="2:19" ht="14.5" x14ac:dyDescent="0.35">
      <c r="B118" s="17"/>
      <c r="C118" s="17"/>
      <c r="D118" s="17"/>
      <c r="E118" s="17"/>
      <c r="F118" s="17"/>
      <c r="G118" s="123"/>
      <c r="H118" s="17"/>
      <c r="J118" s="17"/>
      <c r="K118" s="17"/>
      <c r="L118" s="17"/>
      <c r="M118" s="17"/>
      <c r="N118" s="17"/>
      <c r="O118" s="17"/>
      <c r="P118" s="17"/>
      <c r="Q118" s="17"/>
      <c r="R118" s="17"/>
      <c r="S118" s="17"/>
    </row>
    <row r="119" spans="2:19" ht="14.5" x14ac:dyDescent="0.35">
      <c r="B119" s="17"/>
      <c r="C119" s="17"/>
      <c r="D119" s="17"/>
      <c r="E119" s="17"/>
      <c r="F119" s="17"/>
      <c r="G119" s="123"/>
      <c r="H119" s="17"/>
      <c r="J119" s="17"/>
      <c r="K119" s="17"/>
      <c r="L119" s="17"/>
      <c r="M119" s="17"/>
      <c r="N119" s="17"/>
      <c r="O119" s="17"/>
      <c r="P119" s="17"/>
      <c r="Q119" s="17"/>
      <c r="R119" s="17"/>
      <c r="S119" s="17"/>
    </row>
    <row r="120" spans="2:19" ht="14.5" x14ac:dyDescent="0.35">
      <c r="B120" s="17"/>
      <c r="C120" s="17"/>
      <c r="D120" s="17"/>
      <c r="E120" s="17"/>
      <c r="F120" s="17"/>
      <c r="G120" s="123"/>
      <c r="H120" s="17"/>
      <c r="J120" s="17"/>
      <c r="K120" s="17"/>
      <c r="L120" s="17"/>
      <c r="M120" s="17"/>
      <c r="N120" s="17"/>
      <c r="O120" s="17"/>
      <c r="P120" s="17"/>
      <c r="Q120" s="17"/>
      <c r="R120" s="17"/>
      <c r="S120" s="17"/>
    </row>
    <row r="121" spans="2:19" ht="14.5" x14ac:dyDescent="0.35">
      <c r="B121" s="17"/>
      <c r="C121" s="17"/>
      <c r="D121" s="17"/>
      <c r="E121" s="17"/>
      <c r="F121" s="17"/>
      <c r="G121" s="123"/>
      <c r="H121" s="17"/>
      <c r="J121" s="17"/>
      <c r="K121" s="17"/>
      <c r="L121" s="17"/>
      <c r="M121" s="17"/>
      <c r="N121" s="17"/>
      <c r="O121" s="17"/>
      <c r="P121" s="17"/>
      <c r="Q121" s="17"/>
      <c r="R121" s="17"/>
      <c r="S121" s="17"/>
    </row>
    <row r="122" spans="2:19" ht="14.5" x14ac:dyDescent="0.35">
      <c r="B122" s="17"/>
      <c r="C122" s="17"/>
      <c r="D122" s="17"/>
      <c r="E122" s="17"/>
      <c r="F122" s="17"/>
      <c r="G122" s="123"/>
      <c r="H122" s="17"/>
      <c r="J122" s="17"/>
      <c r="K122" s="17"/>
      <c r="L122" s="17"/>
      <c r="M122" s="17"/>
      <c r="N122" s="17"/>
      <c r="O122" s="17"/>
      <c r="P122" s="17"/>
      <c r="Q122" s="17"/>
      <c r="R122" s="17"/>
      <c r="S122" s="17"/>
    </row>
    <row r="123" spans="2:19" ht="14.5" x14ac:dyDescent="0.35">
      <c r="B123" s="17"/>
      <c r="C123" s="17"/>
      <c r="D123" s="17"/>
      <c r="E123" s="17"/>
      <c r="F123" s="17"/>
      <c r="G123" s="123"/>
      <c r="H123" s="17"/>
      <c r="J123" s="17"/>
      <c r="K123" s="17"/>
      <c r="L123" s="17"/>
      <c r="M123" s="17"/>
      <c r="N123" s="17"/>
      <c r="O123" s="17"/>
      <c r="P123" s="17"/>
      <c r="Q123" s="17"/>
      <c r="R123" s="17"/>
      <c r="S123" s="17"/>
    </row>
    <row r="124" spans="2:19" ht="14.5" x14ac:dyDescent="0.35">
      <c r="B124" s="17"/>
      <c r="C124" s="17"/>
      <c r="D124" s="17"/>
      <c r="E124" s="17"/>
      <c r="F124" s="17"/>
      <c r="G124" s="123"/>
      <c r="H124" s="17"/>
      <c r="J124" s="17"/>
      <c r="K124" s="17"/>
      <c r="L124" s="17"/>
      <c r="M124" s="17"/>
      <c r="N124" s="17"/>
      <c r="O124" s="17"/>
      <c r="P124" s="17"/>
      <c r="Q124" s="17"/>
      <c r="R124" s="17"/>
      <c r="S124" s="17"/>
    </row>
    <row r="125" spans="2:19" ht="14.5" x14ac:dyDescent="0.35">
      <c r="B125" s="17"/>
      <c r="C125" s="17"/>
      <c r="D125" s="17"/>
      <c r="E125" s="17"/>
      <c r="F125" s="17"/>
      <c r="G125" s="123"/>
      <c r="H125" s="17"/>
      <c r="J125" s="17"/>
      <c r="K125" s="17"/>
      <c r="L125" s="17"/>
      <c r="M125" s="17"/>
      <c r="N125" s="17"/>
      <c r="O125" s="17"/>
      <c r="P125" s="17"/>
      <c r="Q125" s="17"/>
      <c r="R125" s="17"/>
      <c r="S125" s="17"/>
    </row>
    <row r="126" spans="2:19" ht="14.5" x14ac:dyDescent="0.35">
      <c r="B126" s="17"/>
      <c r="C126" s="17"/>
      <c r="D126" s="17"/>
      <c r="E126" s="17"/>
      <c r="F126" s="17"/>
      <c r="G126" s="123"/>
      <c r="H126" s="17"/>
      <c r="J126" s="17"/>
      <c r="K126" s="17"/>
      <c r="L126" s="17"/>
      <c r="M126" s="17"/>
      <c r="N126" s="17"/>
      <c r="O126" s="17"/>
      <c r="P126" s="17"/>
      <c r="Q126" s="17"/>
      <c r="R126" s="17"/>
      <c r="S126" s="17"/>
    </row>
    <row r="127" spans="2:19" ht="14.5" x14ac:dyDescent="0.35">
      <c r="B127" s="17"/>
      <c r="C127" s="119"/>
      <c r="D127" s="133"/>
      <c r="E127" s="120"/>
      <c r="F127" s="120"/>
      <c r="G127" s="123"/>
      <c r="H127" s="17"/>
      <c r="J127" s="17"/>
      <c r="K127" s="17"/>
      <c r="L127" s="17"/>
      <c r="M127" s="17"/>
      <c r="N127" s="17"/>
      <c r="O127" s="17"/>
      <c r="P127" s="17"/>
      <c r="Q127" s="17"/>
      <c r="R127" s="17"/>
      <c r="S127" s="17"/>
    </row>
    <row r="128" spans="2:19" ht="14.5" x14ac:dyDescent="0.35">
      <c r="B128" s="17"/>
      <c r="C128" s="123"/>
      <c r="D128" s="133"/>
      <c r="E128" s="123"/>
      <c r="F128" s="134"/>
      <c r="G128" s="123"/>
      <c r="H128" s="17"/>
      <c r="J128" s="17"/>
      <c r="K128" s="17"/>
      <c r="L128" s="17"/>
      <c r="M128" s="17"/>
      <c r="N128" s="17"/>
      <c r="O128" s="17"/>
      <c r="P128" s="17"/>
      <c r="Q128" s="17"/>
      <c r="R128" s="17"/>
      <c r="S128" s="17"/>
    </row>
    <row r="129" spans="2:19" x14ac:dyDescent="0.25">
      <c r="B129" s="17"/>
      <c r="C129" s="17"/>
      <c r="D129" s="17"/>
      <c r="E129" s="17"/>
      <c r="F129" s="17"/>
      <c r="G129" s="17"/>
      <c r="H129" s="17"/>
      <c r="J129" s="17"/>
      <c r="K129" s="17"/>
      <c r="L129" s="17"/>
      <c r="M129" s="17"/>
      <c r="N129" s="17"/>
      <c r="O129" s="17"/>
      <c r="P129" s="17"/>
      <c r="Q129" s="17"/>
      <c r="R129" s="17"/>
      <c r="S129" s="17"/>
    </row>
    <row r="130" spans="2:19" x14ac:dyDescent="0.25">
      <c r="B130" s="17"/>
      <c r="C130" s="17"/>
      <c r="D130" s="17"/>
      <c r="E130" s="17"/>
      <c r="F130" s="17"/>
      <c r="G130" s="17"/>
      <c r="H130" s="17"/>
      <c r="J130" s="17"/>
      <c r="K130" s="17"/>
      <c r="L130" s="17"/>
      <c r="M130" s="17"/>
      <c r="N130" s="17"/>
      <c r="O130" s="17"/>
      <c r="P130" s="17"/>
      <c r="Q130" s="17"/>
      <c r="R130" s="17"/>
      <c r="S130" s="17"/>
    </row>
    <row r="131" spans="2:19" x14ac:dyDescent="0.25">
      <c r="B131" s="17"/>
      <c r="C131" s="17"/>
      <c r="D131" s="17"/>
      <c r="E131" s="17"/>
      <c r="F131" s="17"/>
      <c r="G131" s="17"/>
      <c r="H131" s="17"/>
      <c r="J131" s="17"/>
      <c r="K131" s="17"/>
      <c r="L131" s="17"/>
      <c r="M131" s="17"/>
      <c r="N131" s="17"/>
      <c r="O131" s="17"/>
      <c r="P131" s="17"/>
      <c r="Q131" s="17"/>
      <c r="R131" s="17"/>
      <c r="S131" s="17"/>
    </row>
    <row r="132" spans="2:19" x14ac:dyDescent="0.25">
      <c r="B132" s="17"/>
      <c r="C132" s="17"/>
      <c r="D132" s="17"/>
      <c r="E132" s="17"/>
      <c r="F132" s="17"/>
      <c r="G132" s="17"/>
      <c r="H132" s="17"/>
      <c r="J132" s="17"/>
      <c r="K132" s="17"/>
      <c r="L132" s="17"/>
      <c r="M132" s="17"/>
      <c r="N132" s="17"/>
      <c r="O132" s="17"/>
      <c r="P132" s="17"/>
      <c r="Q132" s="17"/>
      <c r="R132" s="17"/>
      <c r="S132" s="17"/>
    </row>
    <row r="133" spans="2:19" s="17" customFormat="1" x14ac:dyDescent="0.25"/>
    <row r="134" spans="2:19" s="17" customFormat="1" x14ac:dyDescent="0.25"/>
    <row r="135" spans="2:19" s="17" customFormat="1" x14ac:dyDescent="0.25"/>
    <row r="136" spans="2:19" s="17" customFormat="1" x14ac:dyDescent="0.25"/>
    <row r="137" spans="2:19" s="17" customFormat="1" x14ac:dyDescent="0.25"/>
    <row r="138" spans="2:19" s="17" customFormat="1" x14ac:dyDescent="0.25"/>
    <row r="139" spans="2:19" s="17" customFormat="1" x14ac:dyDescent="0.25"/>
    <row r="140" spans="2:19" s="17" customFormat="1" x14ac:dyDescent="0.25"/>
    <row r="141" spans="2:19" s="17" customFormat="1" x14ac:dyDescent="0.25"/>
    <row r="142" spans="2:19" s="17" customFormat="1" x14ac:dyDescent="0.25"/>
    <row r="143" spans="2:19" s="17" customFormat="1" x14ac:dyDescent="0.25"/>
    <row r="144" spans="2:19" s="17" customFormat="1" x14ac:dyDescent="0.25"/>
    <row r="145" spans="3:11" s="17" customFormat="1" x14ac:dyDescent="0.25"/>
    <row r="146" spans="3:11" s="17" customFormat="1" x14ac:dyDescent="0.25"/>
    <row r="147" spans="3:11" s="17" customFormat="1" x14ac:dyDescent="0.25"/>
    <row r="148" spans="3:11" s="17" customFormat="1" x14ac:dyDescent="0.25"/>
    <row r="149" spans="3:11" s="17" customFormat="1" x14ac:dyDescent="0.25"/>
    <row r="150" spans="3:11" s="17" customFormat="1" x14ac:dyDescent="0.25"/>
    <row r="151" spans="3:11" s="17" customFormat="1" x14ac:dyDescent="0.25"/>
    <row r="152" spans="3:11" s="17" customFormat="1" x14ac:dyDescent="0.25"/>
    <row r="153" spans="3:11" s="17" customFormat="1" ht="14.5" x14ac:dyDescent="0.35">
      <c r="C153" s="123"/>
      <c r="D153" s="123"/>
      <c r="E153" s="123"/>
      <c r="F153" s="123"/>
      <c r="G153" s="123"/>
      <c r="H153" s="123"/>
      <c r="I153" s="123"/>
      <c r="J153" s="123"/>
      <c r="K153" s="123"/>
    </row>
    <row r="154" spans="3:11" s="17" customFormat="1" x14ac:dyDescent="0.25"/>
    <row r="155" spans="3:11" s="17" customFormat="1" x14ac:dyDescent="0.25"/>
    <row r="156" spans="3:11" s="17" customFormat="1" x14ac:dyDescent="0.25"/>
    <row r="157" spans="3:11" s="17" customFormat="1" x14ac:dyDescent="0.25"/>
    <row r="158" spans="3:11" s="17" customFormat="1" x14ac:dyDescent="0.25"/>
    <row r="159" spans="3:11" s="17" customFormat="1" x14ac:dyDescent="0.25"/>
    <row r="160" spans="3:11" s="17" customFormat="1" x14ac:dyDescent="0.25"/>
    <row r="161" spans="2:19" s="17" customFormat="1" x14ac:dyDescent="0.25"/>
    <row r="162" spans="2:19" s="17" customFormat="1" x14ac:dyDescent="0.25"/>
    <row r="163" spans="2:19" s="17" customFormat="1" x14ac:dyDescent="0.25"/>
    <row r="164" spans="2:19" s="17" customFormat="1" x14ac:dyDescent="0.25"/>
    <row r="165" spans="2:19" s="17" customFormat="1" x14ac:dyDescent="0.25"/>
    <row r="166" spans="2:19" s="17" customFormat="1" x14ac:dyDescent="0.25"/>
    <row r="167" spans="2:19" s="17" customFormat="1" x14ac:dyDescent="0.25"/>
    <row r="168" spans="2:19" s="17" customFormat="1" x14ac:dyDescent="0.25"/>
    <row r="169" spans="2:19" s="17" customFormat="1" x14ac:dyDescent="0.25"/>
    <row r="170" spans="2:19" s="17" customFormat="1" x14ac:dyDescent="0.25"/>
    <row r="171" spans="2:19" s="17" customFormat="1" x14ac:dyDescent="0.25"/>
    <row r="172" spans="2:19" s="17" customFormat="1" x14ac:dyDescent="0.25"/>
    <row r="173" spans="2:19" s="17" customFormat="1" x14ac:dyDescent="0.25"/>
    <row r="174" spans="2:19" s="17" customFormat="1" x14ac:dyDescent="0.25"/>
    <row r="175" spans="2:19" x14ac:dyDescent="0.25">
      <c r="B175" s="17"/>
      <c r="C175" s="17"/>
      <c r="D175" s="17"/>
      <c r="E175" s="17"/>
      <c r="F175" s="17"/>
      <c r="G175" s="17"/>
      <c r="H175" s="17"/>
      <c r="J175" s="17"/>
      <c r="K175" s="17"/>
      <c r="L175" s="17"/>
      <c r="M175" s="17"/>
      <c r="N175" s="17"/>
      <c r="O175" s="17"/>
      <c r="P175" s="17"/>
      <c r="Q175" s="17"/>
      <c r="R175" s="17"/>
      <c r="S175" s="17"/>
    </row>
    <row r="176" spans="2:19" x14ac:dyDescent="0.25">
      <c r="B176" s="17"/>
      <c r="C176" s="17"/>
      <c r="D176" s="17"/>
      <c r="E176" s="17"/>
      <c r="F176" s="17"/>
      <c r="G176" s="17"/>
      <c r="H176" s="17"/>
      <c r="J176" s="17"/>
      <c r="K176" s="17"/>
      <c r="L176" s="17"/>
      <c r="M176" s="17"/>
      <c r="N176" s="17"/>
      <c r="O176" s="17"/>
      <c r="P176" s="17"/>
      <c r="Q176" s="17"/>
      <c r="R176" s="17"/>
      <c r="S176" s="17"/>
    </row>
    <row r="177" spans="2:19" x14ac:dyDescent="0.25">
      <c r="B177" s="17"/>
      <c r="C177" s="17"/>
      <c r="D177" s="17"/>
      <c r="E177" s="17"/>
      <c r="F177" s="17"/>
      <c r="G177" s="17"/>
      <c r="H177" s="17"/>
      <c r="J177" s="17"/>
      <c r="K177" s="17"/>
      <c r="L177" s="17"/>
      <c r="M177" s="17"/>
      <c r="N177" s="17"/>
      <c r="O177" s="17"/>
      <c r="P177" s="17"/>
      <c r="Q177" s="17"/>
      <c r="R177" s="17"/>
      <c r="S177" s="17"/>
    </row>
    <row r="178" spans="2:19" x14ac:dyDescent="0.25">
      <c r="B178" s="17"/>
      <c r="C178" s="17"/>
      <c r="D178" s="17"/>
      <c r="E178" s="17"/>
      <c r="F178" s="17"/>
      <c r="G178" s="17"/>
      <c r="H178" s="17"/>
      <c r="J178" s="17"/>
      <c r="K178" s="17"/>
      <c r="L178" s="17"/>
      <c r="M178" s="17"/>
      <c r="N178" s="17"/>
      <c r="O178" s="17"/>
      <c r="P178" s="17"/>
      <c r="Q178" s="17"/>
      <c r="R178" s="17"/>
      <c r="S178" s="17"/>
    </row>
    <row r="179" spans="2:19" x14ac:dyDescent="0.25">
      <c r="B179" s="17"/>
      <c r="C179" s="17"/>
      <c r="D179" s="17"/>
      <c r="E179" s="17"/>
      <c r="F179" s="17"/>
      <c r="G179" s="17"/>
      <c r="H179" s="17"/>
      <c r="J179" s="17"/>
      <c r="K179" s="17"/>
      <c r="L179" s="17"/>
      <c r="M179" s="17"/>
      <c r="N179" s="17"/>
      <c r="O179" s="17"/>
      <c r="P179" s="17"/>
      <c r="Q179" s="17"/>
      <c r="R179" s="17"/>
      <c r="S179" s="17"/>
    </row>
    <row r="180" spans="2:19" x14ac:dyDescent="0.25">
      <c r="B180" s="17"/>
      <c r="C180" s="17"/>
      <c r="D180" s="17"/>
      <c r="E180" s="17"/>
      <c r="F180" s="17"/>
      <c r="G180" s="17"/>
      <c r="H180" s="17"/>
      <c r="J180" s="17"/>
      <c r="K180" s="17"/>
      <c r="L180" s="17"/>
      <c r="M180" s="17"/>
      <c r="N180" s="17"/>
      <c r="O180" s="17"/>
      <c r="P180" s="17"/>
      <c r="Q180" s="17"/>
      <c r="R180" s="17"/>
      <c r="S180" s="17"/>
    </row>
    <row r="181" spans="2:19" x14ac:dyDescent="0.25">
      <c r="B181" s="17"/>
      <c r="C181" s="17"/>
      <c r="D181" s="17"/>
      <c r="E181" s="17"/>
      <c r="F181" s="17"/>
      <c r="G181" s="17"/>
      <c r="H181" s="17"/>
      <c r="J181" s="17"/>
      <c r="K181" s="17"/>
      <c r="L181" s="17"/>
      <c r="M181" s="17"/>
      <c r="N181" s="17"/>
      <c r="O181" s="17"/>
      <c r="P181" s="17"/>
      <c r="Q181" s="17"/>
      <c r="R181" s="17"/>
      <c r="S181" s="17"/>
    </row>
    <row r="182" spans="2:19" x14ac:dyDescent="0.25">
      <c r="B182" s="17"/>
      <c r="C182" s="17"/>
      <c r="D182" s="17"/>
      <c r="E182" s="17"/>
      <c r="F182" s="17"/>
      <c r="G182" s="17"/>
      <c r="H182" s="17"/>
      <c r="J182" s="17"/>
      <c r="K182" s="17"/>
      <c r="L182" s="17"/>
      <c r="M182" s="17"/>
      <c r="N182" s="17"/>
      <c r="O182" s="17"/>
      <c r="P182" s="17"/>
      <c r="Q182" s="17"/>
      <c r="R182" s="17"/>
      <c r="S182" s="17"/>
    </row>
    <row r="183" spans="2:19" x14ac:dyDescent="0.25">
      <c r="B183" s="17"/>
      <c r="C183" s="17"/>
      <c r="D183" s="17"/>
      <c r="E183" s="17"/>
      <c r="F183" s="17"/>
      <c r="G183" s="17"/>
      <c r="H183" s="17"/>
      <c r="J183" s="17"/>
      <c r="K183" s="17"/>
      <c r="L183" s="17"/>
      <c r="M183" s="17"/>
      <c r="N183" s="17"/>
      <c r="O183" s="17"/>
      <c r="P183" s="17"/>
      <c r="Q183" s="17"/>
      <c r="R183" s="17"/>
      <c r="S183" s="17"/>
    </row>
    <row r="184" spans="2:19" x14ac:dyDescent="0.25">
      <c r="B184" s="17"/>
      <c r="C184" s="17"/>
      <c r="D184" s="17"/>
      <c r="E184" s="17"/>
      <c r="F184" s="17"/>
      <c r="G184" s="17"/>
      <c r="H184" s="17"/>
      <c r="J184" s="17"/>
      <c r="K184" s="17"/>
      <c r="L184" s="17"/>
      <c r="M184" s="17"/>
      <c r="N184" s="17"/>
      <c r="O184" s="17"/>
      <c r="P184" s="17"/>
      <c r="Q184" s="17"/>
      <c r="R184" s="17"/>
      <c r="S184" s="17"/>
    </row>
    <row r="185" spans="2:19" x14ac:dyDescent="0.25">
      <c r="B185" s="17"/>
      <c r="C185" s="17"/>
      <c r="D185" s="17"/>
      <c r="E185" s="17"/>
      <c r="F185" s="17"/>
      <c r="G185" s="17"/>
      <c r="H185" s="17"/>
      <c r="J185" s="17"/>
      <c r="K185" s="17"/>
      <c r="L185" s="17"/>
      <c r="M185" s="17"/>
      <c r="N185" s="17"/>
      <c r="O185" s="17"/>
      <c r="P185" s="17"/>
      <c r="Q185" s="17"/>
      <c r="R185" s="17"/>
      <c r="S185" s="17"/>
    </row>
    <row r="186" spans="2:19" x14ac:dyDescent="0.25">
      <c r="B186" s="17"/>
      <c r="C186" s="17"/>
      <c r="D186" s="17"/>
      <c r="E186" s="17"/>
      <c r="F186" s="17"/>
      <c r="G186" s="17"/>
      <c r="H186" s="17"/>
      <c r="J186" s="17"/>
      <c r="K186" s="17"/>
      <c r="L186" s="17"/>
      <c r="M186" s="17"/>
      <c r="N186" s="17"/>
      <c r="O186" s="17"/>
      <c r="P186" s="17"/>
      <c r="Q186" s="17"/>
      <c r="R186" s="17"/>
      <c r="S186" s="17"/>
    </row>
    <row r="187" spans="2:19" x14ac:dyDescent="0.25">
      <c r="B187" s="17"/>
      <c r="C187" s="17"/>
      <c r="D187" s="17"/>
      <c r="E187" s="17"/>
      <c r="F187" s="17"/>
      <c r="G187" s="17"/>
      <c r="H187" s="17"/>
      <c r="J187" s="17"/>
      <c r="K187" s="17"/>
      <c r="L187" s="17"/>
      <c r="M187" s="17"/>
      <c r="N187" s="17"/>
      <c r="O187" s="17"/>
      <c r="P187" s="17"/>
      <c r="Q187" s="17"/>
      <c r="R187" s="17"/>
      <c r="S187" s="17"/>
    </row>
    <row r="188" spans="2:19" x14ac:dyDescent="0.25">
      <c r="B188" s="17"/>
      <c r="C188" s="17"/>
      <c r="D188" s="17"/>
      <c r="E188" s="17"/>
      <c r="F188" s="17"/>
      <c r="G188" s="17"/>
      <c r="H188" s="17"/>
      <c r="J188" s="17"/>
      <c r="K188" s="17"/>
      <c r="L188" s="17"/>
      <c r="M188" s="17"/>
      <c r="N188" s="17"/>
      <c r="O188" s="17"/>
      <c r="P188" s="17"/>
      <c r="Q188" s="17"/>
      <c r="R188" s="17"/>
      <c r="S188" s="17"/>
    </row>
    <row r="189" spans="2:19" x14ac:dyDescent="0.25">
      <c r="B189" s="17"/>
      <c r="C189" s="17"/>
      <c r="D189" s="17"/>
      <c r="E189" s="17"/>
      <c r="F189" s="17"/>
      <c r="G189" s="17"/>
      <c r="H189" s="17"/>
      <c r="J189" s="17"/>
      <c r="K189" s="17"/>
      <c r="L189" s="17"/>
      <c r="M189" s="17"/>
      <c r="N189" s="17"/>
      <c r="O189" s="17"/>
      <c r="P189" s="17"/>
      <c r="Q189" s="17"/>
      <c r="R189" s="17"/>
      <c r="S189" s="17"/>
    </row>
    <row r="190" spans="2:19" x14ac:dyDescent="0.25">
      <c r="B190" s="17"/>
      <c r="C190" s="17"/>
      <c r="D190" s="17"/>
      <c r="E190" s="17"/>
      <c r="F190" s="17"/>
      <c r="G190" s="17"/>
      <c r="H190" s="17"/>
      <c r="J190" s="17"/>
      <c r="K190" s="17"/>
      <c r="L190" s="17"/>
      <c r="M190" s="17"/>
      <c r="N190" s="17"/>
      <c r="O190" s="17"/>
      <c r="P190" s="17"/>
      <c r="Q190" s="17"/>
      <c r="R190" s="17"/>
      <c r="S190" s="17"/>
    </row>
    <row r="191" spans="2:19" x14ac:dyDescent="0.25">
      <c r="B191" s="17"/>
      <c r="C191" s="17"/>
      <c r="D191" s="17"/>
      <c r="E191" s="17"/>
      <c r="F191" s="17"/>
      <c r="G191" s="17"/>
      <c r="H191" s="17"/>
      <c r="J191" s="17"/>
      <c r="K191" s="17"/>
      <c r="L191" s="17"/>
      <c r="M191" s="17"/>
      <c r="N191" s="17"/>
      <c r="O191" s="17"/>
      <c r="P191" s="17"/>
      <c r="Q191" s="17"/>
      <c r="R191" s="17"/>
      <c r="S191" s="17"/>
    </row>
    <row r="192" spans="2:19" x14ac:dyDescent="0.25">
      <c r="B192" s="17"/>
      <c r="C192" s="17"/>
      <c r="D192" s="17"/>
      <c r="E192" s="17"/>
      <c r="F192" s="17"/>
      <c r="G192" s="17"/>
      <c r="H192" s="17"/>
      <c r="J192" s="17"/>
      <c r="K192" s="17"/>
      <c r="L192" s="17"/>
      <c r="M192" s="17"/>
      <c r="N192" s="17"/>
      <c r="O192" s="17"/>
      <c r="P192" s="17"/>
      <c r="Q192" s="17"/>
      <c r="R192" s="17"/>
      <c r="S192" s="17"/>
    </row>
    <row r="193" spans="2:19" x14ac:dyDescent="0.25">
      <c r="B193" s="17"/>
      <c r="C193" s="17"/>
      <c r="D193" s="17"/>
      <c r="E193" s="17"/>
      <c r="F193" s="17"/>
      <c r="G193" s="17"/>
      <c r="H193" s="17"/>
      <c r="J193" s="17"/>
      <c r="K193" s="17"/>
      <c r="L193" s="17"/>
      <c r="M193" s="17"/>
      <c r="N193" s="17"/>
      <c r="O193" s="17"/>
      <c r="P193" s="17"/>
      <c r="Q193" s="17"/>
      <c r="R193" s="17"/>
      <c r="S193" s="17"/>
    </row>
    <row r="194" spans="2:19" x14ac:dyDescent="0.25">
      <c r="B194" s="17"/>
      <c r="C194" s="17"/>
      <c r="D194" s="17"/>
      <c r="E194" s="17"/>
      <c r="F194" s="17"/>
      <c r="G194" s="17"/>
      <c r="H194" s="17"/>
      <c r="J194" s="17"/>
      <c r="K194" s="17"/>
      <c r="L194" s="17"/>
      <c r="M194" s="17"/>
      <c r="N194" s="17"/>
      <c r="O194" s="17"/>
      <c r="P194" s="17"/>
      <c r="Q194" s="17"/>
      <c r="R194" s="17"/>
      <c r="S194" s="17"/>
    </row>
    <row r="195" spans="2:19" x14ac:dyDescent="0.25">
      <c r="B195" s="17"/>
      <c r="C195" s="17"/>
      <c r="D195" s="17"/>
      <c r="E195" s="17"/>
      <c r="F195" s="17"/>
      <c r="G195" s="17"/>
      <c r="H195" s="17"/>
      <c r="J195" s="17"/>
      <c r="K195" s="17"/>
      <c r="L195" s="17"/>
      <c r="M195" s="17"/>
      <c r="N195" s="17"/>
      <c r="O195" s="17"/>
      <c r="P195" s="17"/>
      <c r="Q195" s="17"/>
      <c r="R195" s="17"/>
      <c r="S195" s="17"/>
    </row>
    <row r="196" spans="2:19" x14ac:dyDescent="0.25">
      <c r="B196" s="17"/>
      <c r="C196" s="17"/>
      <c r="D196" s="17"/>
      <c r="E196" s="17"/>
      <c r="F196" s="17"/>
      <c r="G196" s="17"/>
      <c r="H196" s="17"/>
      <c r="J196" s="17"/>
      <c r="K196" s="17"/>
      <c r="L196" s="17"/>
      <c r="M196" s="17"/>
      <c r="N196" s="17"/>
      <c r="O196" s="17"/>
      <c r="P196" s="17"/>
      <c r="Q196" s="17"/>
      <c r="R196" s="17"/>
      <c r="S196" s="17"/>
    </row>
    <row r="197" spans="2:19" x14ac:dyDescent="0.25">
      <c r="B197" s="17"/>
      <c r="C197" s="17"/>
      <c r="D197" s="17"/>
      <c r="E197" s="17"/>
      <c r="F197" s="17"/>
      <c r="G197" s="17"/>
      <c r="H197" s="17"/>
      <c r="J197" s="17"/>
      <c r="K197" s="17"/>
      <c r="L197" s="17"/>
      <c r="M197" s="17"/>
      <c r="N197" s="17"/>
      <c r="O197" s="17"/>
      <c r="P197" s="17"/>
      <c r="Q197" s="17"/>
      <c r="R197" s="17"/>
      <c r="S197" s="17"/>
    </row>
    <row r="198" spans="2:19" x14ac:dyDescent="0.25">
      <c r="B198" s="17"/>
      <c r="C198" s="17"/>
      <c r="D198" s="17"/>
      <c r="E198" s="17"/>
      <c r="F198" s="17"/>
      <c r="G198" s="17"/>
      <c r="H198" s="17"/>
      <c r="J198" s="17"/>
      <c r="K198" s="17"/>
      <c r="L198" s="17"/>
      <c r="M198" s="17"/>
      <c r="N198" s="17"/>
      <c r="O198" s="17"/>
      <c r="P198" s="17"/>
      <c r="Q198" s="17"/>
      <c r="R198" s="17"/>
      <c r="S198" s="17"/>
    </row>
    <row r="199" spans="2:19" x14ac:dyDescent="0.25">
      <c r="B199" s="17"/>
      <c r="C199" s="17"/>
      <c r="D199" s="17"/>
      <c r="E199" s="17"/>
      <c r="F199" s="17"/>
      <c r="G199" s="17"/>
      <c r="H199" s="17"/>
      <c r="J199" s="17"/>
      <c r="K199" s="17"/>
      <c r="L199" s="17"/>
      <c r="M199" s="17"/>
      <c r="N199" s="17"/>
      <c r="O199" s="17"/>
      <c r="P199" s="17"/>
      <c r="Q199" s="17"/>
      <c r="R199" s="17"/>
      <c r="S199" s="17"/>
    </row>
    <row r="200" spans="2:19" x14ac:dyDescent="0.25">
      <c r="B200" s="17"/>
      <c r="C200" s="17"/>
      <c r="D200" s="17"/>
      <c r="E200" s="17"/>
      <c r="F200" s="17"/>
      <c r="G200" s="17"/>
      <c r="H200" s="17"/>
      <c r="J200" s="17"/>
      <c r="K200" s="17"/>
      <c r="L200" s="17"/>
      <c r="M200" s="17"/>
      <c r="N200" s="17"/>
      <c r="O200" s="17"/>
      <c r="P200" s="17"/>
      <c r="Q200" s="17"/>
      <c r="R200" s="17"/>
      <c r="S200" s="17"/>
    </row>
    <row r="201" spans="2:19" x14ac:dyDescent="0.25">
      <c r="B201" s="17"/>
      <c r="C201" s="17"/>
      <c r="D201" s="17"/>
      <c r="E201" s="17"/>
      <c r="F201" s="17"/>
      <c r="G201" s="17"/>
      <c r="H201" s="17"/>
      <c r="J201" s="17"/>
      <c r="K201" s="17"/>
      <c r="L201" s="17"/>
      <c r="M201" s="17"/>
      <c r="N201" s="17"/>
      <c r="O201" s="17"/>
      <c r="P201" s="17"/>
      <c r="Q201" s="17"/>
      <c r="R201" s="17"/>
      <c r="S201" s="17"/>
    </row>
    <row r="202" spans="2:19" x14ac:dyDescent="0.25">
      <c r="B202" s="17"/>
      <c r="C202" s="17"/>
      <c r="D202" s="17"/>
      <c r="E202" s="17"/>
      <c r="F202" s="17"/>
      <c r="G202" s="17"/>
      <c r="H202" s="17"/>
      <c r="J202" s="17"/>
      <c r="K202" s="17"/>
      <c r="L202" s="17"/>
      <c r="M202" s="17"/>
      <c r="N202" s="17"/>
      <c r="O202" s="17"/>
      <c r="P202" s="17"/>
      <c r="Q202" s="17"/>
      <c r="R202" s="17"/>
      <c r="S202" s="17"/>
    </row>
    <row r="203" spans="2:19" x14ac:dyDescent="0.25">
      <c r="B203" s="17"/>
      <c r="C203" s="17"/>
      <c r="D203" s="17"/>
      <c r="E203" s="17"/>
      <c r="F203" s="17"/>
      <c r="G203" s="17"/>
      <c r="H203" s="17"/>
      <c r="J203" s="17"/>
      <c r="K203" s="17"/>
      <c r="L203" s="17"/>
      <c r="M203" s="17"/>
      <c r="N203" s="17"/>
      <c r="O203" s="17"/>
      <c r="P203" s="17"/>
      <c r="Q203" s="17"/>
      <c r="R203" s="17"/>
      <c r="S203" s="17"/>
    </row>
    <row r="204" spans="2:19" x14ac:dyDescent="0.25">
      <c r="B204" s="17"/>
      <c r="C204" s="17"/>
      <c r="D204" s="17"/>
      <c r="E204" s="17"/>
      <c r="F204" s="17"/>
      <c r="G204" s="17"/>
      <c r="H204" s="17"/>
      <c r="J204" s="17"/>
      <c r="K204" s="17"/>
      <c r="L204" s="17"/>
      <c r="M204" s="17"/>
      <c r="N204" s="17"/>
      <c r="O204" s="17"/>
      <c r="P204" s="17"/>
      <c r="Q204" s="17"/>
      <c r="R204" s="17"/>
      <c r="S204" s="17"/>
    </row>
    <row r="205" spans="2:19" x14ac:dyDescent="0.25">
      <c r="B205" s="17"/>
      <c r="C205" s="17"/>
      <c r="D205" s="17"/>
      <c r="E205" s="17"/>
      <c r="F205" s="17"/>
      <c r="G205" s="17"/>
      <c r="H205" s="17"/>
      <c r="J205" s="17"/>
      <c r="K205" s="17"/>
      <c r="L205" s="17"/>
      <c r="M205" s="17"/>
      <c r="N205" s="17"/>
      <c r="O205" s="17"/>
      <c r="P205" s="17"/>
      <c r="Q205" s="17"/>
      <c r="R205" s="17"/>
      <c r="S205" s="17"/>
    </row>
    <row r="206" spans="2:19" x14ac:dyDescent="0.25">
      <c r="B206" s="17"/>
      <c r="C206" s="17"/>
      <c r="D206" s="17"/>
      <c r="E206" s="17"/>
      <c r="F206" s="17"/>
      <c r="G206" s="17"/>
      <c r="H206" s="17"/>
      <c r="J206" s="17"/>
      <c r="K206" s="17"/>
      <c r="L206" s="17"/>
      <c r="M206" s="17"/>
      <c r="N206" s="17"/>
      <c r="O206" s="17"/>
      <c r="P206" s="17"/>
      <c r="Q206" s="17"/>
      <c r="R206" s="17"/>
      <c r="S206" s="17"/>
    </row>
    <row r="207" spans="2:19" x14ac:dyDescent="0.25">
      <c r="B207" s="17"/>
      <c r="C207" s="17"/>
      <c r="D207" s="17"/>
      <c r="E207" s="17"/>
      <c r="F207" s="17"/>
      <c r="G207" s="17"/>
      <c r="H207" s="17"/>
      <c r="J207" s="17"/>
      <c r="K207" s="17"/>
      <c r="L207" s="17"/>
      <c r="M207" s="17"/>
      <c r="N207" s="17"/>
      <c r="O207" s="17"/>
      <c r="P207" s="17"/>
      <c r="Q207" s="17"/>
      <c r="R207" s="17"/>
      <c r="S207" s="17"/>
    </row>
    <row r="208" spans="2:19" x14ac:dyDescent="0.25">
      <c r="B208" s="17"/>
      <c r="C208" s="17"/>
      <c r="D208" s="17"/>
      <c r="E208" s="17"/>
      <c r="F208" s="17"/>
      <c r="G208" s="17"/>
      <c r="H208" s="17"/>
      <c r="J208" s="17"/>
      <c r="K208" s="17"/>
      <c r="L208" s="17"/>
      <c r="M208" s="17"/>
      <c r="N208" s="17"/>
      <c r="O208" s="17"/>
      <c r="P208" s="17"/>
      <c r="Q208" s="17"/>
      <c r="R208" s="17"/>
      <c r="S208" s="17"/>
    </row>
    <row r="209" spans="2:19" x14ac:dyDescent="0.25">
      <c r="B209" s="17"/>
      <c r="C209" s="17"/>
      <c r="D209" s="17"/>
      <c r="E209" s="17"/>
      <c r="F209" s="17"/>
      <c r="G209" s="17"/>
      <c r="H209" s="17"/>
      <c r="J209" s="17"/>
      <c r="K209" s="17"/>
      <c r="L209" s="17"/>
      <c r="M209" s="17"/>
      <c r="N209" s="17"/>
      <c r="O209" s="17"/>
      <c r="P209" s="17"/>
      <c r="Q209" s="17"/>
      <c r="R209" s="17"/>
      <c r="S209" s="17"/>
    </row>
    <row r="210" spans="2:19" x14ac:dyDescent="0.25">
      <c r="B210" s="17"/>
      <c r="C210" s="17"/>
      <c r="D210" s="17"/>
      <c r="E210" s="17"/>
      <c r="F210" s="17"/>
      <c r="G210" s="17"/>
      <c r="H210" s="17"/>
      <c r="J210" s="17"/>
      <c r="K210" s="17"/>
      <c r="L210" s="17"/>
      <c r="M210" s="17"/>
      <c r="N210" s="17"/>
      <c r="O210" s="17"/>
      <c r="P210" s="17"/>
      <c r="Q210" s="17"/>
      <c r="R210" s="17"/>
      <c r="S210" s="17"/>
    </row>
    <row r="211" spans="2:19" x14ac:dyDescent="0.25">
      <c r="B211" s="17"/>
      <c r="C211" s="17"/>
      <c r="D211" s="17"/>
      <c r="E211" s="17"/>
      <c r="F211" s="17"/>
      <c r="G211" s="17"/>
      <c r="H211" s="17"/>
      <c r="J211" s="17"/>
      <c r="K211" s="17"/>
      <c r="L211" s="17"/>
      <c r="M211" s="17"/>
      <c r="N211" s="17"/>
      <c r="O211" s="17"/>
      <c r="P211" s="17"/>
      <c r="Q211" s="17"/>
      <c r="R211" s="17"/>
      <c r="S211" s="17"/>
    </row>
    <row r="212" spans="2:19" x14ac:dyDescent="0.25">
      <c r="B212" s="17"/>
      <c r="C212" s="17"/>
      <c r="D212" s="17"/>
      <c r="E212" s="17"/>
      <c r="F212" s="17"/>
      <c r="G212" s="17"/>
      <c r="H212" s="17"/>
      <c r="J212" s="17"/>
      <c r="K212" s="17"/>
      <c r="L212" s="17"/>
      <c r="M212" s="17"/>
      <c r="N212" s="17"/>
      <c r="O212" s="17"/>
      <c r="P212" s="17"/>
      <c r="Q212" s="17"/>
      <c r="R212" s="17"/>
      <c r="S212" s="17"/>
    </row>
    <row r="213" spans="2:19" x14ac:dyDescent="0.25">
      <c r="B213" s="17"/>
      <c r="C213" s="17"/>
      <c r="D213" s="17"/>
      <c r="E213" s="17"/>
      <c r="F213" s="17"/>
      <c r="G213" s="17"/>
      <c r="H213" s="17"/>
      <c r="J213" s="17"/>
      <c r="K213" s="17"/>
      <c r="L213" s="17"/>
      <c r="M213" s="17"/>
      <c r="N213" s="17"/>
      <c r="O213" s="17"/>
      <c r="P213" s="17"/>
      <c r="Q213" s="17"/>
      <c r="R213" s="17"/>
      <c r="S213" s="17"/>
    </row>
    <row r="214" spans="2:19" x14ac:dyDescent="0.25">
      <c r="B214" s="17"/>
      <c r="C214" s="17"/>
      <c r="D214" s="17"/>
      <c r="E214" s="17"/>
      <c r="F214" s="17"/>
      <c r="G214" s="17"/>
      <c r="H214" s="17"/>
      <c r="J214" s="17"/>
      <c r="K214" s="17"/>
      <c r="L214" s="17"/>
      <c r="M214" s="17"/>
      <c r="N214" s="17"/>
      <c r="O214" s="17"/>
      <c r="P214" s="17"/>
      <c r="Q214" s="17"/>
      <c r="R214" s="17"/>
      <c r="S214" s="17"/>
    </row>
    <row r="215" spans="2:19" x14ac:dyDescent="0.25">
      <c r="B215" s="17"/>
      <c r="C215" s="17"/>
      <c r="D215" s="17"/>
      <c r="E215" s="17"/>
      <c r="F215" s="17"/>
      <c r="G215" s="17"/>
      <c r="H215" s="17"/>
      <c r="J215" s="17"/>
      <c r="K215" s="17"/>
      <c r="L215" s="17"/>
      <c r="M215" s="17"/>
      <c r="N215" s="17"/>
      <c r="O215" s="17"/>
      <c r="P215" s="17"/>
      <c r="Q215" s="17"/>
      <c r="R215" s="17"/>
      <c r="S215" s="17"/>
    </row>
    <row r="216" spans="2:19" x14ac:dyDescent="0.25">
      <c r="B216" s="17"/>
      <c r="C216" s="17"/>
      <c r="D216" s="17"/>
      <c r="E216" s="17"/>
      <c r="F216" s="17"/>
      <c r="G216" s="17"/>
      <c r="H216" s="17"/>
      <c r="J216" s="17"/>
      <c r="K216" s="17"/>
      <c r="L216" s="17"/>
      <c r="M216" s="17"/>
      <c r="N216" s="17"/>
      <c r="O216" s="17"/>
      <c r="P216" s="17"/>
      <c r="Q216" s="17"/>
      <c r="R216" s="17"/>
      <c r="S216" s="17"/>
    </row>
    <row r="217" spans="2:19" x14ac:dyDescent="0.25">
      <c r="B217" s="17"/>
      <c r="C217" s="17"/>
      <c r="D217" s="17"/>
      <c r="E217" s="17"/>
      <c r="F217" s="17"/>
      <c r="G217" s="17"/>
      <c r="H217" s="17"/>
      <c r="J217" s="17"/>
      <c r="K217" s="17"/>
      <c r="L217" s="17"/>
      <c r="M217" s="17"/>
      <c r="N217" s="17"/>
      <c r="O217" s="17"/>
      <c r="P217" s="17"/>
      <c r="Q217" s="17"/>
      <c r="R217" s="17"/>
      <c r="S217" s="17"/>
    </row>
    <row r="218" spans="2:19" x14ac:dyDescent="0.25">
      <c r="B218" s="17"/>
      <c r="C218" s="17"/>
      <c r="D218" s="17"/>
      <c r="E218" s="17"/>
      <c r="F218" s="17"/>
      <c r="G218" s="17"/>
      <c r="H218" s="17"/>
      <c r="J218" s="17"/>
      <c r="K218" s="17"/>
      <c r="L218" s="17"/>
      <c r="M218" s="17"/>
      <c r="N218" s="17"/>
      <c r="O218" s="17"/>
      <c r="P218" s="17"/>
      <c r="Q218" s="17"/>
      <c r="R218" s="17"/>
      <c r="S218" s="17"/>
    </row>
    <row r="219" spans="2:19" x14ac:dyDescent="0.25">
      <c r="B219" s="17"/>
      <c r="C219" s="17"/>
      <c r="D219" s="17"/>
      <c r="E219" s="17"/>
      <c r="F219" s="17"/>
      <c r="G219" s="17"/>
      <c r="H219" s="17"/>
      <c r="J219" s="17"/>
      <c r="K219" s="17"/>
      <c r="L219" s="17"/>
      <c r="M219" s="17"/>
      <c r="N219" s="17"/>
      <c r="O219" s="17"/>
      <c r="P219" s="17"/>
      <c r="Q219" s="17"/>
      <c r="R219" s="17"/>
      <c r="S219" s="17"/>
    </row>
    <row r="220" spans="2:19" x14ac:dyDescent="0.25">
      <c r="B220" s="17"/>
      <c r="C220" s="17"/>
      <c r="D220" s="17"/>
      <c r="E220" s="17"/>
      <c r="F220" s="17"/>
      <c r="G220" s="17"/>
      <c r="H220" s="17"/>
      <c r="J220" s="17"/>
      <c r="K220" s="17"/>
      <c r="L220" s="17"/>
      <c r="M220" s="17"/>
      <c r="N220" s="17"/>
      <c r="O220" s="17"/>
      <c r="P220" s="17"/>
      <c r="Q220" s="17"/>
      <c r="R220" s="17"/>
      <c r="S220" s="17"/>
    </row>
    <row r="221" spans="2:19" x14ac:dyDescent="0.25">
      <c r="B221" s="17"/>
      <c r="C221" s="17"/>
      <c r="D221" s="17"/>
      <c r="E221" s="17"/>
      <c r="F221" s="17"/>
      <c r="G221" s="17"/>
      <c r="H221" s="17"/>
      <c r="J221" s="17"/>
      <c r="K221" s="17"/>
      <c r="L221" s="17"/>
      <c r="M221" s="17"/>
      <c r="N221" s="17"/>
      <c r="O221" s="17"/>
      <c r="P221" s="17"/>
      <c r="Q221" s="17"/>
      <c r="R221" s="17"/>
      <c r="S221" s="17"/>
    </row>
    <row r="222" spans="2:19" x14ac:dyDescent="0.25">
      <c r="B222" s="17"/>
      <c r="C222" s="17"/>
      <c r="D222" s="17"/>
      <c r="E222" s="17"/>
      <c r="F222" s="17"/>
      <c r="G222" s="17"/>
      <c r="H222" s="17"/>
      <c r="J222" s="17"/>
      <c r="K222" s="17"/>
      <c r="L222" s="17"/>
      <c r="M222" s="17"/>
      <c r="N222" s="17"/>
      <c r="O222" s="17"/>
      <c r="P222" s="17"/>
      <c r="Q222" s="17"/>
      <c r="R222" s="17"/>
      <c r="S222" s="17"/>
    </row>
    <row r="223" spans="2:19" x14ac:dyDescent="0.25">
      <c r="B223" s="17"/>
      <c r="C223" s="17"/>
      <c r="D223" s="17"/>
      <c r="E223" s="17"/>
      <c r="F223" s="17"/>
      <c r="G223" s="17"/>
      <c r="H223" s="17"/>
      <c r="J223" s="17"/>
      <c r="K223" s="17"/>
      <c r="L223" s="17"/>
      <c r="M223" s="17"/>
      <c r="N223" s="17"/>
      <c r="O223" s="17"/>
      <c r="P223" s="17"/>
      <c r="Q223" s="17"/>
      <c r="R223" s="17"/>
      <c r="S223" s="17"/>
    </row>
    <row r="224" spans="2:19" x14ac:dyDescent="0.25">
      <c r="B224" s="17"/>
      <c r="C224" s="17"/>
      <c r="D224" s="17"/>
      <c r="E224" s="17"/>
      <c r="F224" s="17"/>
      <c r="G224" s="17"/>
      <c r="H224" s="17"/>
      <c r="J224" s="17"/>
      <c r="K224" s="17"/>
      <c r="L224" s="17"/>
      <c r="M224" s="17"/>
      <c r="N224" s="17"/>
      <c r="O224" s="17"/>
      <c r="P224" s="17"/>
      <c r="Q224" s="17"/>
      <c r="R224" s="17"/>
      <c r="S224" s="17"/>
    </row>
    <row r="225" spans="2:19" x14ac:dyDescent="0.25">
      <c r="B225" s="17"/>
      <c r="C225" s="17"/>
      <c r="D225" s="17"/>
      <c r="E225" s="17"/>
      <c r="F225" s="17"/>
      <c r="G225" s="17"/>
      <c r="H225" s="17"/>
      <c r="J225" s="17"/>
      <c r="K225" s="17"/>
      <c r="L225" s="17"/>
      <c r="M225" s="17"/>
      <c r="N225" s="17"/>
      <c r="O225" s="17"/>
      <c r="P225" s="17"/>
      <c r="Q225" s="17"/>
      <c r="R225" s="17"/>
      <c r="S225" s="17"/>
    </row>
    <row r="226" spans="2:19" x14ac:dyDescent="0.25">
      <c r="B226" s="17"/>
      <c r="C226" s="17"/>
      <c r="D226" s="17"/>
      <c r="E226" s="17"/>
      <c r="F226" s="17"/>
      <c r="G226" s="17"/>
      <c r="H226" s="17"/>
      <c r="J226" s="17"/>
      <c r="K226" s="17"/>
      <c r="L226" s="17"/>
      <c r="M226" s="17"/>
      <c r="N226" s="17"/>
      <c r="O226" s="17"/>
      <c r="P226" s="17"/>
      <c r="Q226" s="17"/>
      <c r="R226" s="17"/>
      <c r="S226" s="17"/>
    </row>
    <row r="227" spans="2:19" x14ac:dyDescent="0.25">
      <c r="B227" s="17"/>
      <c r="C227" s="17"/>
      <c r="D227" s="17"/>
      <c r="E227" s="17"/>
      <c r="F227" s="17"/>
      <c r="G227" s="17"/>
      <c r="H227" s="17"/>
      <c r="J227" s="17"/>
      <c r="K227" s="17"/>
      <c r="L227" s="17"/>
      <c r="M227" s="17"/>
      <c r="N227" s="17"/>
      <c r="O227" s="17"/>
      <c r="P227" s="17"/>
      <c r="Q227" s="17"/>
      <c r="R227" s="17"/>
      <c r="S227" s="17"/>
    </row>
    <row r="228" spans="2:19" x14ac:dyDescent="0.25">
      <c r="B228" s="17"/>
      <c r="C228" s="17"/>
      <c r="D228" s="17"/>
      <c r="E228" s="17"/>
      <c r="F228" s="17"/>
      <c r="G228" s="17"/>
      <c r="H228" s="17"/>
      <c r="J228" s="17"/>
      <c r="K228" s="17"/>
      <c r="L228" s="17"/>
      <c r="M228" s="17"/>
      <c r="N228" s="17"/>
      <c r="O228" s="17"/>
      <c r="P228" s="17"/>
      <c r="Q228" s="17"/>
      <c r="R228" s="17"/>
      <c r="S228" s="17"/>
    </row>
    <row r="229" spans="2:19" x14ac:dyDescent="0.25">
      <c r="B229" s="17"/>
      <c r="C229" s="17"/>
      <c r="D229" s="17"/>
      <c r="E229" s="17"/>
      <c r="F229" s="17"/>
      <c r="G229" s="17"/>
      <c r="H229" s="17"/>
      <c r="J229" s="17"/>
      <c r="K229" s="17"/>
      <c r="L229" s="17"/>
      <c r="M229" s="17"/>
      <c r="N229" s="17"/>
      <c r="O229" s="17"/>
      <c r="P229" s="17"/>
      <c r="Q229" s="17"/>
      <c r="R229" s="17"/>
      <c r="S229" s="17"/>
    </row>
    <row r="230" spans="2:19" x14ac:dyDescent="0.25">
      <c r="B230" s="17"/>
      <c r="C230" s="17"/>
      <c r="D230" s="17"/>
      <c r="E230" s="17"/>
      <c r="F230" s="17"/>
      <c r="G230" s="17"/>
      <c r="H230" s="17"/>
      <c r="J230" s="17"/>
      <c r="K230" s="17"/>
      <c r="L230" s="17"/>
      <c r="M230" s="17"/>
      <c r="N230" s="17"/>
      <c r="O230" s="17"/>
      <c r="P230" s="17"/>
      <c r="Q230" s="17"/>
      <c r="R230" s="17"/>
      <c r="S230" s="17"/>
    </row>
    <row r="231" spans="2:19" x14ac:dyDescent="0.25">
      <c r="B231" s="17"/>
      <c r="C231" s="17"/>
      <c r="D231" s="17"/>
      <c r="E231" s="17"/>
      <c r="F231" s="17"/>
      <c r="G231" s="17"/>
      <c r="H231" s="17"/>
      <c r="J231" s="17"/>
      <c r="K231" s="17"/>
      <c r="L231" s="17"/>
      <c r="M231" s="17"/>
      <c r="N231" s="17"/>
      <c r="O231" s="17"/>
      <c r="P231" s="17"/>
      <c r="Q231" s="17"/>
      <c r="R231" s="17"/>
      <c r="S231" s="17"/>
    </row>
    <row r="232" spans="2:19" x14ac:dyDescent="0.25">
      <c r="B232" s="17"/>
      <c r="C232" s="17"/>
      <c r="D232" s="17"/>
      <c r="E232" s="17"/>
      <c r="F232" s="17"/>
      <c r="G232" s="17"/>
      <c r="H232" s="17"/>
      <c r="J232" s="17"/>
      <c r="K232" s="17"/>
      <c r="L232" s="17"/>
      <c r="M232" s="17"/>
      <c r="N232" s="17"/>
      <c r="O232" s="17"/>
      <c r="P232" s="17"/>
      <c r="Q232" s="17"/>
      <c r="R232" s="17"/>
      <c r="S232" s="17"/>
    </row>
    <row r="233" spans="2:19" x14ac:dyDescent="0.25">
      <c r="B233" s="17"/>
      <c r="C233" s="17"/>
      <c r="D233" s="17"/>
      <c r="E233" s="17"/>
      <c r="F233" s="17"/>
      <c r="G233" s="17"/>
      <c r="H233" s="17"/>
      <c r="J233" s="17"/>
      <c r="K233" s="17"/>
      <c r="L233" s="17"/>
      <c r="M233" s="17"/>
      <c r="N233" s="17"/>
      <c r="O233" s="17"/>
      <c r="P233" s="17"/>
      <c r="Q233" s="17"/>
      <c r="R233" s="17"/>
      <c r="S233" s="17"/>
    </row>
    <row r="234" spans="2:19" x14ac:dyDescent="0.25">
      <c r="B234" s="17"/>
      <c r="C234" s="17"/>
      <c r="D234" s="17"/>
      <c r="E234" s="17"/>
      <c r="F234" s="17"/>
      <c r="G234" s="17"/>
      <c r="H234" s="17"/>
      <c r="J234" s="17"/>
      <c r="K234" s="17"/>
      <c r="L234" s="17"/>
      <c r="M234" s="17"/>
      <c r="N234" s="17"/>
      <c r="O234" s="17"/>
      <c r="P234" s="17"/>
      <c r="Q234" s="17"/>
      <c r="R234" s="17"/>
      <c r="S234" s="17"/>
    </row>
    <row r="235" spans="2:19" x14ac:dyDescent="0.25">
      <c r="B235" s="17"/>
      <c r="C235" s="17"/>
      <c r="D235" s="17"/>
      <c r="E235" s="17"/>
      <c r="F235" s="17"/>
      <c r="G235" s="17"/>
      <c r="H235" s="17"/>
      <c r="J235" s="17"/>
      <c r="K235" s="17"/>
      <c r="L235" s="17"/>
      <c r="M235" s="17"/>
      <c r="N235" s="17"/>
      <c r="O235" s="17"/>
      <c r="P235" s="17"/>
      <c r="Q235" s="17"/>
      <c r="R235" s="17"/>
      <c r="S235" s="17"/>
    </row>
    <row r="236" spans="2:19" x14ac:dyDescent="0.25">
      <c r="B236" s="17"/>
      <c r="C236" s="17"/>
      <c r="D236" s="17"/>
      <c r="E236" s="17"/>
      <c r="F236" s="17"/>
      <c r="G236" s="17"/>
      <c r="H236" s="17"/>
      <c r="J236" s="17"/>
      <c r="K236" s="17"/>
      <c r="L236" s="17"/>
      <c r="M236" s="17"/>
      <c r="N236" s="17"/>
      <c r="O236" s="17"/>
      <c r="P236" s="17"/>
      <c r="Q236" s="17"/>
      <c r="R236" s="17"/>
      <c r="S236" s="17"/>
    </row>
    <row r="237" spans="2:19" x14ac:dyDescent="0.25">
      <c r="B237" s="17"/>
      <c r="C237" s="17"/>
      <c r="D237" s="17"/>
      <c r="E237" s="17"/>
      <c r="F237" s="17"/>
      <c r="G237" s="17"/>
      <c r="H237" s="17"/>
      <c r="J237" s="17"/>
      <c r="K237" s="17"/>
      <c r="L237" s="17"/>
      <c r="M237" s="17"/>
      <c r="N237" s="17"/>
      <c r="O237" s="17"/>
      <c r="P237" s="17"/>
      <c r="Q237" s="17"/>
      <c r="R237" s="17"/>
      <c r="S237" s="17"/>
    </row>
    <row r="238" spans="2:19" x14ac:dyDescent="0.25">
      <c r="B238" s="17"/>
      <c r="C238" s="17"/>
      <c r="D238" s="17"/>
      <c r="E238" s="17"/>
      <c r="F238" s="17"/>
      <c r="G238" s="17"/>
      <c r="H238" s="17"/>
      <c r="J238" s="17"/>
      <c r="K238" s="17"/>
      <c r="L238" s="17"/>
      <c r="M238" s="17"/>
      <c r="N238" s="17"/>
      <c r="O238" s="17"/>
      <c r="P238" s="17"/>
      <c r="Q238" s="17"/>
      <c r="R238" s="17"/>
      <c r="S238" s="17"/>
    </row>
    <row r="239" spans="2:19" x14ac:dyDescent="0.25">
      <c r="B239" s="17"/>
      <c r="C239" s="17"/>
      <c r="D239" s="17"/>
      <c r="E239" s="17"/>
      <c r="F239" s="17"/>
      <c r="G239" s="17"/>
      <c r="H239" s="17"/>
      <c r="J239" s="17"/>
      <c r="K239" s="17"/>
      <c r="L239" s="17"/>
      <c r="M239" s="17"/>
      <c r="N239" s="17"/>
      <c r="O239" s="17"/>
      <c r="P239" s="17"/>
      <c r="Q239" s="17"/>
      <c r="R239" s="17"/>
      <c r="S239" s="17"/>
    </row>
    <row r="240" spans="2:19" x14ac:dyDescent="0.25">
      <c r="B240" s="17"/>
      <c r="C240" s="17"/>
      <c r="D240" s="17"/>
      <c r="E240" s="17"/>
      <c r="F240" s="17"/>
      <c r="G240" s="17"/>
      <c r="H240" s="17"/>
      <c r="J240" s="17"/>
      <c r="K240" s="17"/>
      <c r="L240" s="17"/>
      <c r="M240" s="17"/>
      <c r="N240" s="17"/>
      <c r="O240" s="17"/>
      <c r="P240" s="17"/>
      <c r="Q240" s="17"/>
      <c r="R240" s="17"/>
      <c r="S240" s="17"/>
    </row>
    <row r="241" spans="2:19" x14ac:dyDescent="0.25">
      <c r="B241" s="17"/>
      <c r="C241" s="17"/>
      <c r="D241" s="17"/>
      <c r="E241" s="17"/>
      <c r="F241" s="17"/>
      <c r="G241" s="17"/>
      <c r="H241" s="17"/>
      <c r="J241" s="17"/>
      <c r="K241" s="17"/>
      <c r="L241" s="17"/>
      <c r="M241" s="17"/>
      <c r="N241" s="17"/>
      <c r="O241" s="17"/>
      <c r="P241" s="17"/>
      <c r="Q241" s="17"/>
      <c r="R241" s="17"/>
      <c r="S241" s="17"/>
    </row>
    <row r="242" spans="2:19" x14ac:dyDescent="0.25">
      <c r="B242" s="17"/>
      <c r="C242" s="17"/>
      <c r="D242" s="17"/>
      <c r="E242" s="17"/>
      <c r="F242" s="17"/>
      <c r="G242" s="17"/>
      <c r="H242" s="17"/>
      <c r="J242" s="17"/>
      <c r="K242" s="17"/>
      <c r="L242" s="17"/>
      <c r="M242" s="17"/>
      <c r="N242" s="17"/>
      <c r="O242" s="17"/>
      <c r="P242" s="17"/>
      <c r="Q242" s="17"/>
      <c r="R242" s="17"/>
      <c r="S242" s="17"/>
    </row>
    <row r="243" spans="2:19" x14ac:dyDescent="0.25">
      <c r="B243" s="17"/>
      <c r="C243" s="17"/>
      <c r="D243" s="17"/>
      <c r="E243" s="17"/>
      <c r="F243" s="17"/>
      <c r="G243" s="17"/>
      <c r="H243" s="17"/>
      <c r="J243" s="17"/>
      <c r="K243" s="17"/>
      <c r="L243" s="17"/>
      <c r="M243" s="17"/>
      <c r="N243" s="17"/>
      <c r="O243" s="17"/>
      <c r="P243" s="17"/>
      <c r="Q243" s="17"/>
      <c r="R243" s="17"/>
      <c r="S243" s="17"/>
    </row>
    <row r="244" spans="2:19" x14ac:dyDescent="0.25">
      <c r="B244" s="17"/>
      <c r="C244" s="17"/>
      <c r="D244" s="17"/>
      <c r="E244" s="17"/>
      <c r="F244" s="17"/>
      <c r="G244" s="17"/>
      <c r="H244" s="17"/>
      <c r="J244" s="17"/>
      <c r="K244" s="17"/>
      <c r="L244" s="17"/>
      <c r="M244" s="17"/>
      <c r="N244" s="17"/>
      <c r="O244" s="17"/>
      <c r="P244" s="17"/>
      <c r="Q244" s="17"/>
      <c r="R244" s="17"/>
      <c r="S244" s="17"/>
    </row>
    <row r="245" spans="2:19" x14ac:dyDescent="0.25">
      <c r="B245" s="17"/>
      <c r="C245" s="17"/>
      <c r="D245" s="17"/>
      <c r="E245" s="17"/>
      <c r="F245" s="17"/>
      <c r="G245" s="17"/>
      <c r="H245" s="17"/>
      <c r="J245" s="17"/>
      <c r="K245" s="17"/>
      <c r="L245" s="17"/>
      <c r="M245" s="17"/>
      <c r="N245" s="17"/>
      <c r="O245" s="17"/>
      <c r="P245" s="17"/>
      <c r="Q245" s="17"/>
      <c r="R245" s="17"/>
      <c r="S245" s="17"/>
    </row>
    <row r="246" spans="2:19" x14ac:dyDescent="0.25">
      <c r="B246" s="17"/>
      <c r="C246" s="17"/>
      <c r="D246" s="17"/>
      <c r="E246" s="17"/>
      <c r="F246" s="17"/>
      <c r="G246" s="17"/>
      <c r="H246" s="17"/>
      <c r="J246" s="17"/>
      <c r="K246" s="17"/>
      <c r="L246" s="17"/>
      <c r="M246" s="17"/>
      <c r="N246" s="17"/>
      <c r="O246" s="17"/>
      <c r="P246" s="17"/>
      <c r="Q246" s="17"/>
      <c r="R246" s="17"/>
      <c r="S246" s="17"/>
    </row>
    <row r="247" spans="2:19" x14ac:dyDescent="0.25">
      <c r="B247" s="17"/>
      <c r="C247" s="17"/>
      <c r="D247" s="17"/>
      <c r="E247" s="17"/>
      <c r="F247" s="17"/>
      <c r="G247" s="17"/>
      <c r="H247" s="17"/>
      <c r="J247" s="17"/>
      <c r="K247" s="17"/>
      <c r="L247" s="17"/>
      <c r="M247" s="17"/>
      <c r="N247" s="17"/>
      <c r="O247" s="17"/>
      <c r="P247" s="17"/>
      <c r="Q247" s="17"/>
      <c r="R247" s="17"/>
      <c r="S247" s="17"/>
    </row>
    <row r="248" spans="2:19" s="17" customFormat="1" x14ac:dyDescent="0.25"/>
    <row r="249" spans="2:19" s="17" customFormat="1" x14ac:dyDescent="0.25"/>
    <row r="250" spans="2:19" s="17" customFormat="1" x14ac:dyDescent="0.25"/>
    <row r="251" spans="2:19" s="17" customFormat="1" x14ac:dyDescent="0.25"/>
    <row r="252" spans="2:19" s="17" customFormat="1" x14ac:dyDescent="0.25"/>
    <row r="253" spans="2:19" s="17" customFormat="1" x14ac:dyDescent="0.25"/>
    <row r="254" spans="2:19" s="17" customFormat="1" x14ac:dyDescent="0.25"/>
    <row r="255" spans="2:19" s="17" customFormat="1" x14ac:dyDescent="0.25"/>
    <row r="256" spans="2:19" s="17" customFormat="1" x14ac:dyDescent="0.25"/>
    <row r="257" s="17" customFormat="1" x14ac:dyDescent="0.25"/>
    <row r="258" s="17" customFormat="1" x14ac:dyDescent="0.25"/>
    <row r="259" s="17" customFormat="1" x14ac:dyDescent="0.25"/>
    <row r="260" s="17" customFormat="1" x14ac:dyDescent="0.25"/>
    <row r="261" s="17" customFormat="1" x14ac:dyDescent="0.25"/>
    <row r="262" s="17" customFormat="1" x14ac:dyDescent="0.25"/>
    <row r="263" s="17" customFormat="1" x14ac:dyDescent="0.25"/>
    <row r="264" s="17" customFormat="1" x14ac:dyDescent="0.25"/>
    <row r="265" s="17" customFormat="1" x14ac:dyDescent="0.25"/>
    <row r="266" s="17" customFormat="1" x14ac:dyDescent="0.25"/>
    <row r="267" s="17" customFormat="1" x14ac:dyDescent="0.25"/>
    <row r="268" s="17" customFormat="1" x14ac:dyDescent="0.25"/>
    <row r="269" s="17" customFormat="1" x14ac:dyDescent="0.25"/>
    <row r="270" s="17" customFormat="1" x14ac:dyDescent="0.25"/>
    <row r="271" s="17" customFormat="1" x14ac:dyDescent="0.25"/>
    <row r="272" s="17" customFormat="1" x14ac:dyDescent="0.25"/>
    <row r="273" s="17" customFormat="1" x14ac:dyDescent="0.25"/>
    <row r="274" s="17" customFormat="1" x14ac:dyDescent="0.25"/>
    <row r="275" s="17" customFormat="1" x14ac:dyDescent="0.25"/>
    <row r="276" s="17" customFormat="1" x14ac:dyDescent="0.25"/>
    <row r="277" s="17" customFormat="1" x14ac:dyDescent="0.25"/>
    <row r="278" s="17" customFormat="1" x14ac:dyDescent="0.25"/>
    <row r="279" s="17" customFormat="1" x14ac:dyDescent="0.25"/>
    <row r="280" s="17" customFormat="1" x14ac:dyDescent="0.25"/>
    <row r="281" s="17" customFormat="1" x14ac:dyDescent="0.25"/>
    <row r="282" s="17" customFormat="1" x14ac:dyDescent="0.25"/>
    <row r="283" s="17" customFormat="1" x14ac:dyDescent="0.25"/>
    <row r="284" s="17" customFormat="1" x14ac:dyDescent="0.25"/>
    <row r="285" s="17" customFormat="1" x14ac:dyDescent="0.25"/>
    <row r="286" s="17" customFormat="1" x14ac:dyDescent="0.25"/>
    <row r="287" s="17" customFormat="1" x14ac:dyDescent="0.25"/>
    <row r="288" s="17" customFormat="1" x14ac:dyDescent="0.25"/>
    <row r="289" s="17" customFormat="1" x14ac:dyDescent="0.25"/>
    <row r="290" s="17" customFormat="1" x14ac:dyDescent="0.25"/>
    <row r="291" s="17" customFormat="1" x14ac:dyDescent="0.25"/>
    <row r="292" s="17" customFormat="1" x14ac:dyDescent="0.25"/>
    <row r="293" s="17" customFormat="1" x14ac:dyDescent="0.25"/>
    <row r="294" s="17" customFormat="1" x14ac:dyDescent="0.25"/>
    <row r="295" s="17" customFormat="1" x14ac:dyDescent="0.25"/>
    <row r="296" s="17" customFormat="1" x14ac:dyDescent="0.25"/>
    <row r="297" s="17" customFormat="1" x14ac:dyDescent="0.25"/>
    <row r="298" s="17" customFormat="1" x14ac:dyDescent="0.25"/>
    <row r="299" s="17" customFormat="1" x14ac:dyDescent="0.25"/>
    <row r="300" s="17" customFormat="1" x14ac:dyDescent="0.25"/>
    <row r="301" s="17" customFormat="1" x14ac:dyDescent="0.25"/>
    <row r="302" s="17" customFormat="1" x14ac:dyDescent="0.25"/>
    <row r="303" s="17" customFormat="1" x14ac:dyDescent="0.25"/>
    <row r="304" s="17" customFormat="1" x14ac:dyDescent="0.25"/>
    <row r="305" s="17" customFormat="1" x14ac:dyDescent="0.25"/>
    <row r="306" s="17" customFormat="1" x14ac:dyDescent="0.25"/>
    <row r="307" s="17" customFormat="1" x14ac:dyDescent="0.25"/>
    <row r="308" s="17" customFormat="1" x14ac:dyDescent="0.25"/>
    <row r="309" s="17" customFormat="1" x14ac:dyDescent="0.25"/>
    <row r="310" s="17" customFormat="1" x14ac:dyDescent="0.25"/>
    <row r="311" s="17" customFormat="1" x14ac:dyDescent="0.25"/>
    <row r="312" s="17" customFormat="1" x14ac:dyDescent="0.25"/>
    <row r="313" s="17" customFormat="1" x14ac:dyDescent="0.25"/>
    <row r="314" s="17" customFormat="1" x14ac:dyDescent="0.25"/>
    <row r="315" s="17" customFormat="1" x14ac:dyDescent="0.25"/>
    <row r="316" s="17" customFormat="1" x14ac:dyDescent="0.25"/>
    <row r="317" s="17" customFormat="1" x14ac:dyDescent="0.25"/>
    <row r="318" s="17" customFormat="1" x14ac:dyDescent="0.25"/>
    <row r="319" s="17" customFormat="1" x14ac:dyDescent="0.25"/>
    <row r="320" s="17" customFormat="1" x14ac:dyDescent="0.25"/>
    <row r="321" s="17" customFormat="1" x14ac:dyDescent="0.25"/>
    <row r="322" s="17" customFormat="1" x14ac:dyDescent="0.25"/>
    <row r="323" s="17" customFormat="1" x14ac:dyDescent="0.25"/>
    <row r="324" s="17" customFormat="1" x14ac:dyDescent="0.25"/>
    <row r="325" s="17" customFormat="1" x14ac:dyDescent="0.25"/>
    <row r="326" s="17" customFormat="1" x14ac:dyDescent="0.25"/>
    <row r="327" s="17" customFormat="1" x14ac:dyDescent="0.25"/>
    <row r="328" s="17" customFormat="1" x14ac:dyDescent="0.25"/>
    <row r="329" s="17" customFormat="1" x14ac:dyDescent="0.25"/>
    <row r="330" s="17" customFormat="1" x14ac:dyDescent="0.25"/>
    <row r="331" s="17" customFormat="1" x14ac:dyDescent="0.25"/>
    <row r="332" s="17" customFormat="1" x14ac:dyDescent="0.25"/>
    <row r="333" s="17" customFormat="1" x14ac:dyDescent="0.25"/>
    <row r="334" s="17" customFormat="1" x14ac:dyDescent="0.25"/>
    <row r="335" s="17" customFormat="1" x14ac:dyDescent="0.25"/>
    <row r="336" s="17" customFormat="1" x14ac:dyDescent="0.25"/>
    <row r="337" s="17" customFormat="1" x14ac:dyDescent="0.25"/>
    <row r="338" s="17" customFormat="1" x14ac:dyDescent="0.25"/>
    <row r="339" s="17" customFormat="1" x14ac:dyDescent="0.25"/>
    <row r="340" s="17" customFormat="1" x14ac:dyDescent="0.25"/>
    <row r="341" s="17" customFormat="1" x14ac:dyDescent="0.25"/>
    <row r="342" s="17" customFormat="1" x14ac:dyDescent="0.25"/>
    <row r="343" s="17" customFormat="1" x14ac:dyDescent="0.25"/>
    <row r="344" s="17" customFormat="1" x14ac:dyDescent="0.25"/>
    <row r="345" s="17" customFormat="1" x14ac:dyDescent="0.25"/>
    <row r="346" s="17" customFormat="1" x14ac:dyDescent="0.25"/>
    <row r="347" s="17" customFormat="1" x14ac:dyDescent="0.25"/>
    <row r="348" s="17" customFormat="1" x14ac:dyDescent="0.25"/>
    <row r="349" s="17" customFormat="1" x14ac:dyDescent="0.25"/>
    <row r="350" s="17" customFormat="1" x14ac:dyDescent="0.25"/>
    <row r="351" s="17" customFormat="1" x14ac:dyDescent="0.25"/>
    <row r="352" s="17" customFormat="1" x14ac:dyDescent="0.25"/>
    <row r="353" s="17" customFormat="1" x14ac:dyDescent="0.25"/>
    <row r="354" s="17" customFormat="1" x14ac:dyDescent="0.25"/>
    <row r="355" s="17" customFormat="1" x14ac:dyDescent="0.25"/>
    <row r="356" s="17" customFormat="1" x14ac:dyDescent="0.25"/>
    <row r="357" s="17" customFormat="1" x14ac:dyDescent="0.25"/>
    <row r="358" s="17" customFormat="1" x14ac:dyDescent="0.25"/>
    <row r="359" s="17" customFormat="1" x14ac:dyDescent="0.25"/>
    <row r="360" s="17" customFormat="1" x14ac:dyDescent="0.25"/>
    <row r="361" s="17" customFormat="1" x14ac:dyDescent="0.25"/>
    <row r="362" s="17" customFormat="1" x14ac:dyDescent="0.25"/>
    <row r="363" s="17" customFormat="1" x14ac:dyDescent="0.25"/>
    <row r="364" s="17" customFormat="1" x14ac:dyDescent="0.25"/>
    <row r="365" s="17" customFormat="1" x14ac:dyDescent="0.25"/>
    <row r="366" s="17" customFormat="1" x14ac:dyDescent="0.25"/>
    <row r="367" s="17" customFormat="1" x14ac:dyDescent="0.25"/>
    <row r="368" s="17" customFormat="1" x14ac:dyDescent="0.25"/>
    <row r="369" s="17" customFormat="1" x14ac:dyDescent="0.25"/>
    <row r="370" s="17" customFormat="1" x14ac:dyDescent="0.25"/>
    <row r="371" s="17" customFormat="1" x14ac:dyDescent="0.25"/>
    <row r="372" s="17" customFormat="1" x14ac:dyDescent="0.25"/>
  </sheetData>
  <mergeCells count="16">
    <mergeCell ref="J3:M3"/>
    <mergeCell ref="O3:R3"/>
    <mergeCell ref="T2:W2"/>
    <mergeCell ref="O2:R2"/>
    <mergeCell ref="J2:M2"/>
    <mergeCell ref="O90:R90"/>
    <mergeCell ref="T90:W90"/>
    <mergeCell ref="T33:W33"/>
    <mergeCell ref="J56:M56"/>
    <mergeCell ref="T56:W56"/>
    <mergeCell ref="J73:M73"/>
    <mergeCell ref="O33:R33"/>
    <mergeCell ref="T73:W73"/>
    <mergeCell ref="J90:M90"/>
    <mergeCell ref="O73:R73"/>
    <mergeCell ref="J33:M33"/>
  </mergeCells>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00821-EE61-4687-A371-0A63363D08E1}">
  <sheetPr codeName="Sheet6">
    <tabColor theme="3" tint="0.39997558519241921"/>
  </sheetPr>
  <dimension ref="A1:AP190"/>
  <sheetViews>
    <sheetView showGridLines="0" zoomScale="85" zoomScaleNormal="85" workbookViewId="0">
      <pane ySplit="3" topLeftCell="A4" activePane="bottomLeft" state="frozen"/>
      <selection activeCell="I25" sqref="I25"/>
      <selection pane="bottomLeft" activeCell="E3" sqref="E3"/>
    </sheetView>
  </sheetViews>
  <sheetFormatPr defaultColWidth="9.1796875" defaultRowHeight="15" customHeight="1" x14ac:dyDescent="0.25"/>
  <cols>
    <col min="1" max="1" width="4.453125" style="20" bestFit="1" customWidth="1"/>
    <col min="2" max="2" width="35.81640625" style="20" customWidth="1"/>
    <col min="3" max="3" width="9.453125" style="20" bestFit="1" customWidth="1"/>
    <col min="4" max="4" width="14.81640625" style="20" customWidth="1"/>
    <col min="5" max="5" width="11.453125" style="20" bestFit="1" customWidth="1"/>
    <col min="6" max="6" width="12.1796875" style="22" customWidth="1"/>
    <col min="7" max="7" width="10.1796875" style="20" customWidth="1"/>
    <col min="8" max="8" width="8.81640625" style="20" customWidth="1"/>
    <col min="9" max="9" width="8.453125" style="20" customWidth="1"/>
    <col min="10" max="10" width="16.26953125" style="20" bestFit="1" customWidth="1"/>
    <col min="11" max="11" width="12.1796875" style="20" bestFit="1" customWidth="1"/>
    <col min="12" max="12" width="13.81640625" style="20" customWidth="1"/>
    <col min="13" max="13" width="11.453125" style="20" customWidth="1"/>
    <col min="14" max="14" width="11" style="21" customWidth="1"/>
    <col min="15" max="15" width="15.453125" style="19" customWidth="1"/>
    <col min="16" max="16" width="9.453125" style="19" customWidth="1"/>
    <col min="17" max="17" width="14.453125" style="19" customWidth="1"/>
    <col min="18" max="18" width="19.453125" style="19" customWidth="1"/>
    <col min="19" max="42" width="59.81640625" style="19" customWidth="1"/>
    <col min="43" max="16384" width="9.1796875" style="20"/>
  </cols>
  <sheetData>
    <row r="1" spans="1:42" thickBot="1" x14ac:dyDescent="0.3"/>
    <row r="2" spans="1:42" ht="24.75" customHeight="1" thickBot="1" x14ac:dyDescent="0.3">
      <c r="A2" s="201" t="s">
        <v>204</v>
      </c>
      <c r="B2" s="202"/>
      <c r="C2" s="202"/>
      <c r="D2" s="202"/>
      <c r="E2" s="202"/>
      <c r="F2" s="202"/>
      <c r="G2" s="202"/>
      <c r="H2" s="202"/>
      <c r="I2" s="202"/>
      <c r="J2" s="202"/>
      <c r="K2" s="202"/>
      <c r="L2" s="202"/>
      <c r="M2" s="202"/>
      <c r="N2" s="202"/>
      <c r="O2" s="203"/>
    </row>
    <row r="3" spans="1:42" ht="50.15" customHeight="1" x14ac:dyDescent="0.25">
      <c r="A3" s="77" t="s">
        <v>205</v>
      </c>
      <c r="B3" s="78" t="s">
        <v>206</v>
      </c>
      <c r="C3" s="78" t="s">
        <v>207</v>
      </c>
      <c r="D3" s="78" t="s">
        <v>208</v>
      </c>
      <c r="E3" s="78" t="s">
        <v>209</v>
      </c>
      <c r="F3" s="78" t="s">
        <v>210</v>
      </c>
      <c r="G3" s="78" t="s">
        <v>211</v>
      </c>
      <c r="H3" s="78" t="s">
        <v>212</v>
      </c>
      <c r="I3" s="78" t="s">
        <v>213</v>
      </c>
      <c r="J3" s="78" t="s">
        <v>59</v>
      </c>
      <c r="K3" s="78" t="s">
        <v>214</v>
      </c>
      <c r="L3" s="78" t="s">
        <v>215</v>
      </c>
      <c r="M3" s="78" t="s">
        <v>216</v>
      </c>
      <c r="N3" s="78" t="s">
        <v>217</v>
      </c>
      <c r="O3" s="139" t="s">
        <v>218</v>
      </c>
    </row>
    <row r="4" spans="1:42" ht="17.25" customHeight="1" x14ac:dyDescent="0.25">
      <c r="A4" s="24">
        <v>1</v>
      </c>
      <c r="B4" s="155" t="s">
        <v>50</v>
      </c>
      <c r="C4" s="25" t="s">
        <v>219</v>
      </c>
      <c r="D4" s="25" t="s">
        <v>220</v>
      </c>
      <c r="E4" s="160">
        <f>PageLevelDistribution!F4</f>
        <v>0.20800000000000007</v>
      </c>
      <c r="F4" s="26">
        <f t="shared" ref="F4:F18" si="0">(E4*$F$19)</f>
        <v>74.880000000000024</v>
      </c>
      <c r="G4" s="28">
        <f>F4/3600</f>
        <v>2.0800000000000006E-2</v>
      </c>
      <c r="H4" s="25">
        <f>PageLevelDistribution!K20</f>
        <v>15</v>
      </c>
      <c r="I4" s="27">
        <f>F4/H4</f>
        <v>4.9920000000000018</v>
      </c>
      <c r="J4" s="107">
        <f t="shared" ref="J4:J18" si="1">(E4*$J$19)</f>
        <v>2.080000000000001</v>
      </c>
      <c r="K4" s="68">
        <v>5</v>
      </c>
      <c r="L4" s="23">
        <f t="shared" ref="L4:L18" si="2">K4*H4</f>
        <v>75</v>
      </c>
      <c r="M4" s="29">
        <f t="shared" ref="M4:M18" si="3">(3600/(I4/J4)-L4)</f>
        <v>1425</v>
      </c>
      <c r="N4" s="23">
        <f t="shared" ref="N4:N18" si="4">M4/H4</f>
        <v>95</v>
      </c>
      <c r="O4" s="27">
        <f t="shared" ref="O4:O18" si="5">M4+L4</f>
        <v>1500</v>
      </c>
      <c r="P4" s="62"/>
      <c r="Q4" s="62"/>
    </row>
    <row r="5" spans="1:42" ht="15.75" customHeight="1" x14ac:dyDescent="0.25">
      <c r="A5" s="24">
        <v>2</v>
      </c>
      <c r="B5" s="156" t="s">
        <v>51</v>
      </c>
      <c r="C5" s="25" t="s">
        <v>219</v>
      </c>
      <c r="D5" s="25" t="s">
        <v>220</v>
      </c>
      <c r="E5" s="160">
        <f>PageLevelDistribution!F5</f>
        <v>0.13900000000000004</v>
      </c>
      <c r="F5" s="26">
        <f t="shared" si="0"/>
        <v>50.040000000000013</v>
      </c>
      <c r="G5" s="28">
        <f t="shared" ref="G5:G18" si="6">F5/3600</f>
        <v>1.3900000000000004E-2</v>
      </c>
      <c r="H5" s="25">
        <f>PageLevelDistribution!P29</f>
        <v>24</v>
      </c>
      <c r="I5" s="27">
        <f t="shared" ref="I5:I18" si="7">F5/H5</f>
        <v>2.0850000000000004</v>
      </c>
      <c r="J5" s="107">
        <f t="shared" si="1"/>
        <v>1.3900000000000003</v>
      </c>
      <c r="K5" s="68">
        <v>5</v>
      </c>
      <c r="L5" s="23">
        <f t="shared" si="2"/>
        <v>120</v>
      </c>
      <c r="M5" s="29">
        <f t="shared" si="3"/>
        <v>2280</v>
      </c>
      <c r="N5" s="23">
        <f t="shared" si="4"/>
        <v>95</v>
      </c>
      <c r="O5" s="27">
        <f t="shared" si="5"/>
        <v>2400</v>
      </c>
      <c r="P5" s="63"/>
      <c r="Q5" s="62"/>
    </row>
    <row r="6" spans="1:42" ht="15.75" customHeight="1" x14ac:dyDescent="0.25">
      <c r="A6" s="24">
        <v>3</v>
      </c>
      <c r="B6" s="155" t="s">
        <v>52</v>
      </c>
      <c r="C6" s="25" t="s">
        <v>219</v>
      </c>
      <c r="D6" s="25" t="s">
        <v>220</v>
      </c>
      <c r="E6" s="160">
        <f>PageLevelDistribution!F6</f>
        <v>2.8000000000000001E-2</v>
      </c>
      <c r="F6" s="26">
        <f t="shared" si="0"/>
        <v>10.08</v>
      </c>
      <c r="G6" s="28">
        <f t="shared" si="6"/>
        <v>2.8E-3</v>
      </c>
      <c r="H6" s="25">
        <f>PageLevelDistribution!U20</f>
        <v>15</v>
      </c>
      <c r="I6" s="27">
        <f t="shared" si="7"/>
        <v>0.67200000000000004</v>
      </c>
      <c r="J6" s="107">
        <f t="shared" si="1"/>
        <v>0.28000000000000003</v>
      </c>
      <c r="K6" s="68">
        <v>5</v>
      </c>
      <c r="L6" s="23">
        <f t="shared" si="2"/>
        <v>75</v>
      </c>
      <c r="M6" s="29">
        <f t="shared" si="3"/>
        <v>1425</v>
      </c>
      <c r="N6" s="23">
        <f t="shared" si="4"/>
        <v>95</v>
      </c>
      <c r="O6" s="27">
        <f t="shared" si="5"/>
        <v>1500</v>
      </c>
      <c r="P6" s="63"/>
      <c r="Q6" s="62"/>
    </row>
    <row r="7" spans="1:42" ht="15.75" customHeight="1" x14ac:dyDescent="0.25">
      <c r="A7" s="24">
        <v>4</v>
      </c>
      <c r="B7" s="156" t="s">
        <v>53</v>
      </c>
      <c r="C7" s="25" t="s">
        <v>219</v>
      </c>
      <c r="D7" s="25" t="s">
        <v>220</v>
      </c>
      <c r="E7" s="160">
        <f>PageLevelDistribution!F7</f>
        <v>7.0000000000000019E-3</v>
      </c>
      <c r="F7" s="26">
        <f t="shared" si="0"/>
        <v>2.5200000000000005</v>
      </c>
      <c r="G7" s="28">
        <f t="shared" si="6"/>
        <v>7.000000000000001E-4</v>
      </c>
      <c r="H7" s="25">
        <f>PageLevelDistribution!K51</f>
        <v>16</v>
      </c>
      <c r="I7" s="27">
        <f t="shared" si="7"/>
        <v>0.15750000000000003</v>
      </c>
      <c r="J7" s="107">
        <f t="shared" si="1"/>
        <v>7.0000000000000021E-2</v>
      </c>
      <c r="K7" s="68">
        <v>5</v>
      </c>
      <c r="L7" s="23">
        <f t="shared" si="2"/>
        <v>80</v>
      </c>
      <c r="M7" s="29">
        <f t="shared" si="3"/>
        <v>1520.0000000000002</v>
      </c>
      <c r="N7" s="23">
        <f t="shared" si="4"/>
        <v>95.000000000000014</v>
      </c>
      <c r="O7" s="27">
        <f t="shared" si="5"/>
        <v>1600.0000000000002</v>
      </c>
      <c r="P7" s="63"/>
      <c r="Q7" s="62"/>
    </row>
    <row r="8" spans="1:42" ht="14.5" x14ac:dyDescent="0.25">
      <c r="A8" s="24">
        <v>5</v>
      </c>
      <c r="B8" s="156" t="s">
        <v>53</v>
      </c>
      <c r="C8" s="25" t="s">
        <v>219</v>
      </c>
      <c r="D8" s="25" t="s">
        <v>220</v>
      </c>
      <c r="E8" s="160">
        <f>PageLevelDistribution!F8</f>
        <v>7.0000000000000019E-3</v>
      </c>
      <c r="F8" s="26">
        <f t="shared" si="0"/>
        <v>2.5200000000000005</v>
      </c>
      <c r="G8" s="28">
        <f t="shared" si="6"/>
        <v>7.000000000000001E-4</v>
      </c>
      <c r="H8" s="25">
        <f>PageLevelDistribution!P52</f>
        <v>17</v>
      </c>
      <c r="I8" s="27">
        <f t="shared" si="7"/>
        <v>0.14823529411764708</v>
      </c>
      <c r="J8" s="107">
        <f t="shared" si="1"/>
        <v>7.0000000000000021E-2</v>
      </c>
      <c r="K8" s="68">
        <v>5</v>
      </c>
      <c r="L8" s="23">
        <f t="shared" si="2"/>
        <v>85</v>
      </c>
      <c r="M8" s="29">
        <f t="shared" si="3"/>
        <v>1615.0000000000002</v>
      </c>
      <c r="N8" s="23">
        <f t="shared" si="4"/>
        <v>95.000000000000014</v>
      </c>
      <c r="O8" s="27">
        <f t="shared" si="5"/>
        <v>1700.0000000000002</v>
      </c>
      <c r="Q8" s="62"/>
    </row>
    <row r="9" spans="1:42" ht="14.5" x14ac:dyDescent="0.25">
      <c r="A9" s="24">
        <v>6</v>
      </c>
      <c r="B9" s="155" t="s">
        <v>54</v>
      </c>
      <c r="C9" s="25" t="s">
        <v>219</v>
      </c>
      <c r="D9" s="25" t="s">
        <v>220</v>
      </c>
      <c r="E9" s="160">
        <f>PageLevelDistribution!F9</f>
        <v>1.4000000000000002E-2</v>
      </c>
      <c r="F9" s="26">
        <f t="shared" si="0"/>
        <v>5.0400000000000009</v>
      </c>
      <c r="G9" s="28">
        <f t="shared" si="6"/>
        <v>1.4000000000000002E-3</v>
      </c>
      <c r="H9" s="25">
        <f>PageLevelDistribution!U43</f>
        <v>8</v>
      </c>
      <c r="I9" s="27">
        <f t="shared" si="7"/>
        <v>0.63000000000000012</v>
      </c>
      <c r="J9" s="107">
        <f t="shared" si="1"/>
        <v>0.14000000000000001</v>
      </c>
      <c r="K9" s="68">
        <v>5</v>
      </c>
      <c r="L9" s="23">
        <f t="shared" si="2"/>
        <v>40</v>
      </c>
      <c r="M9" s="29">
        <f t="shared" si="3"/>
        <v>760</v>
      </c>
      <c r="N9" s="23">
        <f t="shared" si="4"/>
        <v>95</v>
      </c>
      <c r="O9" s="27">
        <f t="shared" si="5"/>
        <v>800</v>
      </c>
      <c r="P9" s="62"/>
      <c r="AP9" s="20"/>
    </row>
    <row r="10" spans="1:42" ht="14.5" x14ac:dyDescent="0.25">
      <c r="A10" s="24">
        <v>7</v>
      </c>
      <c r="B10" s="156" t="s">
        <v>60</v>
      </c>
      <c r="C10" s="25" t="s">
        <v>219</v>
      </c>
      <c r="D10" s="25" t="s">
        <v>220</v>
      </c>
      <c r="E10" s="160">
        <f>PageLevelDistribution!F10</f>
        <v>0.10400000000000004</v>
      </c>
      <c r="F10" s="26">
        <f t="shared" si="0"/>
        <v>37.440000000000012</v>
      </c>
      <c r="G10" s="28">
        <f t="shared" si="6"/>
        <v>1.0400000000000003E-2</v>
      </c>
      <c r="H10" s="25">
        <f>PageLevelDistribution!K69</f>
        <v>11</v>
      </c>
      <c r="I10" s="27">
        <f t="shared" si="7"/>
        <v>3.4036363636363647</v>
      </c>
      <c r="J10" s="107">
        <f t="shared" si="1"/>
        <v>1.0400000000000005</v>
      </c>
      <c r="K10" s="68">
        <v>5</v>
      </c>
      <c r="L10" s="23">
        <f t="shared" si="2"/>
        <v>55</v>
      </c>
      <c r="M10" s="29">
        <f t="shared" si="3"/>
        <v>1045.0000000000002</v>
      </c>
      <c r="N10" s="23">
        <f t="shared" si="4"/>
        <v>95.000000000000014</v>
      </c>
      <c r="O10" s="27">
        <f t="shared" si="5"/>
        <v>1100.0000000000002</v>
      </c>
      <c r="P10" s="62"/>
      <c r="AP10" s="20"/>
    </row>
    <row r="11" spans="1:42" ht="14.5" x14ac:dyDescent="0.25">
      <c r="A11" s="24">
        <v>8</v>
      </c>
      <c r="B11" s="156" t="s">
        <v>62</v>
      </c>
      <c r="C11" s="25" t="s">
        <v>219</v>
      </c>
      <c r="D11" s="25" t="s">
        <v>220</v>
      </c>
      <c r="E11" s="160">
        <f>PageLevelDistribution!F11</f>
        <v>0.10399999999999998</v>
      </c>
      <c r="F11" s="26">
        <f t="shared" si="0"/>
        <v>37.439999999999991</v>
      </c>
      <c r="G11" s="28">
        <f t="shared" si="6"/>
        <v>1.0399999999999998E-2</v>
      </c>
      <c r="H11" s="25">
        <f>PageLevelDistribution!P68</f>
        <v>10</v>
      </c>
      <c r="I11" s="27">
        <f t="shared" si="7"/>
        <v>3.7439999999999989</v>
      </c>
      <c r="J11" s="107">
        <f t="shared" si="1"/>
        <v>1.0399999999999998</v>
      </c>
      <c r="K11" s="68">
        <v>5</v>
      </c>
      <c r="L11" s="23">
        <f t="shared" si="2"/>
        <v>50</v>
      </c>
      <c r="M11" s="29">
        <f t="shared" si="3"/>
        <v>950.00000000000011</v>
      </c>
      <c r="N11" s="23">
        <f t="shared" si="4"/>
        <v>95.000000000000014</v>
      </c>
      <c r="O11" s="27">
        <f t="shared" si="5"/>
        <v>1000.0000000000001</v>
      </c>
      <c r="P11" s="62"/>
      <c r="AP11" s="20"/>
    </row>
    <row r="12" spans="1:42" ht="14.5" x14ac:dyDescent="0.25">
      <c r="A12" s="24">
        <v>9</v>
      </c>
      <c r="B12" s="155" t="s">
        <v>63</v>
      </c>
      <c r="C12" s="25" t="s">
        <v>219</v>
      </c>
      <c r="D12" s="25" t="s">
        <v>220</v>
      </c>
      <c r="E12" s="160">
        <f>PageLevelDistribution!F12</f>
        <v>0.13899999999999998</v>
      </c>
      <c r="F12" s="26">
        <f t="shared" si="0"/>
        <v>50.039999999999992</v>
      </c>
      <c r="G12" s="28">
        <f t="shared" si="6"/>
        <v>1.3899999999999997E-2</v>
      </c>
      <c r="H12" s="25">
        <f>PageLevelDistribution!U69</f>
        <v>11</v>
      </c>
      <c r="I12" s="27">
        <f t="shared" si="7"/>
        <v>4.549090909090908</v>
      </c>
      <c r="J12" s="107">
        <f t="shared" si="1"/>
        <v>1.39</v>
      </c>
      <c r="K12" s="68">
        <v>5</v>
      </c>
      <c r="L12" s="23">
        <f t="shared" si="2"/>
        <v>55</v>
      </c>
      <c r="M12" s="29">
        <f t="shared" si="3"/>
        <v>1045.0000000000002</v>
      </c>
      <c r="N12" s="23">
        <f t="shared" si="4"/>
        <v>95.000000000000014</v>
      </c>
      <c r="O12" s="27">
        <f t="shared" si="5"/>
        <v>1100.0000000000002</v>
      </c>
      <c r="P12" s="62"/>
      <c r="AP12" s="20"/>
    </row>
    <row r="13" spans="1:42" ht="14.5" x14ac:dyDescent="0.25">
      <c r="A13" s="24">
        <v>10</v>
      </c>
      <c r="B13" s="156" t="s">
        <v>64</v>
      </c>
      <c r="C13" s="25" t="s">
        <v>219</v>
      </c>
      <c r="D13" s="25" t="s">
        <v>220</v>
      </c>
      <c r="E13" s="160">
        <f>PageLevelDistribution!F13</f>
        <v>3.4999999999999996E-2</v>
      </c>
      <c r="F13" s="26">
        <f t="shared" si="0"/>
        <v>12.599999999999998</v>
      </c>
      <c r="G13" s="28">
        <f t="shared" si="6"/>
        <v>3.4999999999999992E-3</v>
      </c>
      <c r="H13" s="25">
        <f>PageLevelDistribution!K86</f>
        <v>11</v>
      </c>
      <c r="I13" s="27">
        <f t="shared" si="7"/>
        <v>1.1454545454545453</v>
      </c>
      <c r="J13" s="107">
        <f t="shared" si="1"/>
        <v>0.35</v>
      </c>
      <c r="K13" s="68">
        <v>5</v>
      </c>
      <c r="L13" s="23">
        <f t="shared" si="2"/>
        <v>55</v>
      </c>
      <c r="M13" s="29">
        <f t="shared" si="3"/>
        <v>1045</v>
      </c>
      <c r="N13" s="23">
        <f t="shared" si="4"/>
        <v>95</v>
      </c>
      <c r="O13" s="27">
        <f t="shared" si="5"/>
        <v>1100</v>
      </c>
      <c r="P13" s="62"/>
      <c r="AP13" s="20"/>
    </row>
    <row r="14" spans="1:42" ht="14.5" x14ac:dyDescent="0.25">
      <c r="A14" s="24">
        <v>11</v>
      </c>
      <c r="B14" s="156" t="s">
        <v>65</v>
      </c>
      <c r="C14" s="25" t="s">
        <v>219</v>
      </c>
      <c r="D14" s="25" t="s">
        <v>220</v>
      </c>
      <c r="E14" s="160">
        <f>PageLevelDistribution!F14</f>
        <v>3.4999999999999996E-2</v>
      </c>
      <c r="F14" s="26">
        <f t="shared" si="0"/>
        <v>12.599999999999998</v>
      </c>
      <c r="G14" s="28">
        <f t="shared" si="6"/>
        <v>3.4999999999999992E-3</v>
      </c>
      <c r="H14" s="25">
        <f>PageLevelDistribution!P86</f>
        <v>11</v>
      </c>
      <c r="I14" s="27">
        <f t="shared" si="7"/>
        <v>1.1454545454545453</v>
      </c>
      <c r="J14" s="107">
        <f t="shared" si="1"/>
        <v>0.35</v>
      </c>
      <c r="K14" s="68">
        <v>5</v>
      </c>
      <c r="L14" s="23">
        <f t="shared" si="2"/>
        <v>55</v>
      </c>
      <c r="M14" s="29">
        <f t="shared" si="3"/>
        <v>1045</v>
      </c>
      <c r="N14" s="23">
        <f t="shared" si="4"/>
        <v>95</v>
      </c>
      <c r="O14" s="27">
        <f t="shared" si="5"/>
        <v>1100</v>
      </c>
      <c r="P14" s="62"/>
      <c r="AP14" s="20"/>
    </row>
    <row r="15" spans="1:42" ht="14.5" x14ac:dyDescent="0.25">
      <c r="A15" s="24">
        <v>12</v>
      </c>
      <c r="B15" s="156" t="s">
        <v>66</v>
      </c>
      <c r="C15" s="25" t="s">
        <v>219</v>
      </c>
      <c r="D15" s="25" t="s">
        <v>220</v>
      </c>
      <c r="E15" s="160">
        <f>PageLevelDistribution!F15</f>
        <v>3.4999999999999996E-2</v>
      </c>
      <c r="F15" s="26">
        <f t="shared" si="0"/>
        <v>12.599999999999998</v>
      </c>
      <c r="G15" s="28">
        <f t="shared" si="6"/>
        <v>3.4999999999999992E-3</v>
      </c>
      <c r="H15" s="25">
        <f>PageLevelDistribution!U86</f>
        <v>11</v>
      </c>
      <c r="I15" s="27">
        <f t="shared" si="7"/>
        <v>1.1454545454545453</v>
      </c>
      <c r="J15" s="107">
        <f t="shared" si="1"/>
        <v>0.35</v>
      </c>
      <c r="K15" s="68">
        <v>5</v>
      </c>
      <c r="L15" s="23">
        <f t="shared" si="2"/>
        <v>55</v>
      </c>
      <c r="M15" s="29">
        <f t="shared" si="3"/>
        <v>1045</v>
      </c>
      <c r="N15" s="23">
        <f t="shared" si="4"/>
        <v>95</v>
      </c>
      <c r="O15" s="27">
        <f t="shared" si="5"/>
        <v>1100</v>
      </c>
      <c r="P15" s="62"/>
      <c r="AP15" s="20"/>
    </row>
    <row r="16" spans="1:42" ht="14.5" x14ac:dyDescent="0.25">
      <c r="A16" s="24">
        <v>13</v>
      </c>
      <c r="B16" s="156" t="s">
        <v>67</v>
      </c>
      <c r="C16" s="25" t="s">
        <v>219</v>
      </c>
      <c r="D16" s="25" t="s">
        <v>220</v>
      </c>
      <c r="E16" s="160">
        <f>PageLevelDistribution!F16</f>
        <v>3.4999999999999996E-2</v>
      </c>
      <c r="F16" s="26">
        <f t="shared" si="0"/>
        <v>12.599999999999998</v>
      </c>
      <c r="G16" s="28">
        <f t="shared" si="6"/>
        <v>3.4999999999999992E-3</v>
      </c>
      <c r="H16" s="25">
        <f>PageLevelDistribution!K104</f>
        <v>12</v>
      </c>
      <c r="I16" s="27">
        <f t="shared" si="7"/>
        <v>1.0499999999999998</v>
      </c>
      <c r="J16" s="107">
        <f t="shared" si="1"/>
        <v>0.35</v>
      </c>
      <c r="K16" s="68">
        <v>5</v>
      </c>
      <c r="L16" s="23">
        <f t="shared" si="2"/>
        <v>60</v>
      </c>
      <c r="M16" s="29">
        <f t="shared" si="3"/>
        <v>1140.0000000000002</v>
      </c>
      <c r="N16" s="23">
        <f t="shared" si="4"/>
        <v>95.000000000000014</v>
      </c>
      <c r="O16" s="27">
        <f t="shared" si="5"/>
        <v>1200.0000000000002</v>
      </c>
      <c r="P16" s="62"/>
      <c r="AP16" s="20"/>
    </row>
    <row r="17" spans="1:42" ht="14.5" x14ac:dyDescent="0.25">
      <c r="A17" s="24">
        <v>14</v>
      </c>
      <c r="B17" s="155" t="s">
        <v>68</v>
      </c>
      <c r="C17" s="25" t="s">
        <v>219</v>
      </c>
      <c r="D17" s="25" t="s">
        <v>220</v>
      </c>
      <c r="E17" s="160">
        <f>PageLevelDistribution!F17</f>
        <v>4.200000000000001E-2</v>
      </c>
      <c r="F17" s="26">
        <f t="shared" si="0"/>
        <v>15.120000000000003</v>
      </c>
      <c r="G17" s="28">
        <f t="shared" si="6"/>
        <v>4.2000000000000006E-3</v>
      </c>
      <c r="H17" s="25">
        <f>PageLevelDistribution!P108</f>
        <v>16</v>
      </c>
      <c r="I17" s="27">
        <f t="shared" si="7"/>
        <v>0.94500000000000017</v>
      </c>
      <c r="J17" s="107">
        <f t="shared" si="1"/>
        <v>0.4200000000000001</v>
      </c>
      <c r="K17" s="68">
        <v>5</v>
      </c>
      <c r="L17" s="23">
        <f t="shared" si="2"/>
        <v>80</v>
      </c>
      <c r="M17" s="29">
        <f t="shared" si="3"/>
        <v>1520</v>
      </c>
      <c r="N17" s="23">
        <f t="shared" si="4"/>
        <v>95</v>
      </c>
      <c r="O17" s="27">
        <f t="shared" si="5"/>
        <v>1600</v>
      </c>
      <c r="P17" s="62"/>
      <c r="AP17" s="20"/>
    </row>
    <row r="18" spans="1:42" ht="14.5" x14ac:dyDescent="0.25">
      <c r="A18" s="24">
        <v>15</v>
      </c>
      <c r="B18" s="156" t="s">
        <v>69</v>
      </c>
      <c r="C18" s="25" t="s">
        <v>219</v>
      </c>
      <c r="D18" s="25" t="s">
        <v>220</v>
      </c>
      <c r="E18" s="160">
        <f>PageLevelDistribution!F18</f>
        <v>6.900000000000002E-2</v>
      </c>
      <c r="F18" s="26">
        <f t="shared" si="0"/>
        <v>24.840000000000007</v>
      </c>
      <c r="G18" s="28">
        <f t="shared" si="6"/>
        <v>6.9000000000000016E-3</v>
      </c>
      <c r="H18" s="25">
        <f>PageLevelDistribution!U102</f>
        <v>10</v>
      </c>
      <c r="I18" s="27">
        <f t="shared" si="7"/>
        <v>2.4840000000000009</v>
      </c>
      <c r="J18" s="107">
        <f t="shared" si="1"/>
        <v>0.69000000000000017</v>
      </c>
      <c r="K18" s="68">
        <v>5</v>
      </c>
      <c r="L18" s="23">
        <f t="shared" si="2"/>
        <v>50</v>
      </c>
      <c r="M18" s="29">
        <f t="shared" si="3"/>
        <v>949.99999999999989</v>
      </c>
      <c r="N18" s="23">
        <f t="shared" si="4"/>
        <v>94.999999999999986</v>
      </c>
      <c r="O18" s="27">
        <f t="shared" si="5"/>
        <v>999.99999999999989</v>
      </c>
      <c r="P18" s="62"/>
      <c r="AP18" s="20"/>
    </row>
    <row r="19" spans="1:42" thickBot="1" x14ac:dyDescent="0.3">
      <c r="A19" s="108"/>
      <c r="B19" s="109"/>
      <c r="C19" s="110"/>
      <c r="D19" s="110"/>
      <c r="E19" s="111">
        <v>1</v>
      </c>
      <c r="F19" s="112">
        <f>'Business Scenario'!F20</f>
        <v>360</v>
      </c>
      <c r="G19" s="113">
        <f>SUM(G4:G18)</f>
        <v>0.10010000000000002</v>
      </c>
      <c r="H19" s="114">
        <f>SUM(H4:H18)</f>
        <v>198</v>
      </c>
      <c r="I19" s="114">
        <f>SUM(I4:I18)</f>
        <v>28.296826203208557</v>
      </c>
      <c r="J19" s="115">
        <f>'Business Scenario'!L8</f>
        <v>10</v>
      </c>
      <c r="K19" s="116"/>
      <c r="L19" s="114"/>
      <c r="M19" s="114"/>
      <c r="N19" s="114"/>
      <c r="O19" s="117"/>
      <c r="Q19" s="62"/>
    </row>
    <row r="20" spans="1:42" ht="14.5" x14ac:dyDescent="0.25">
      <c r="A20" s="19"/>
      <c r="B20" s="19"/>
      <c r="C20" s="19"/>
      <c r="D20" s="19"/>
      <c r="E20" s="19"/>
      <c r="F20" s="21"/>
      <c r="G20" s="19"/>
      <c r="H20" s="19"/>
      <c r="I20" s="19"/>
      <c r="J20" s="19"/>
      <c r="K20" s="19"/>
      <c r="L20" s="19"/>
      <c r="M20" s="19"/>
      <c r="Q20" s="62"/>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row>
    <row r="21" spans="1:42" ht="14.5" x14ac:dyDescent="0.25">
      <c r="A21" s="19"/>
      <c r="B21" s="19"/>
      <c r="C21" s="19"/>
      <c r="D21" s="19"/>
      <c r="E21" s="19"/>
      <c r="F21" s="21"/>
      <c r="G21" s="19"/>
      <c r="H21" s="19"/>
      <c r="I21" s="19"/>
      <c r="J21" s="19"/>
      <c r="K21" s="19"/>
      <c r="L21" s="19"/>
      <c r="M21" s="19"/>
      <c r="Q21" s="62"/>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row>
    <row r="22" spans="1:42" ht="14.5" x14ac:dyDescent="0.25">
      <c r="A22" s="19"/>
      <c r="B22" s="19"/>
      <c r="C22" s="19"/>
      <c r="D22" s="19"/>
      <c r="E22" s="19"/>
      <c r="F22" s="21"/>
      <c r="G22" s="19"/>
      <c r="H22" s="19"/>
      <c r="I22" s="19"/>
      <c r="J22" s="19"/>
      <c r="K22" s="19"/>
      <c r="L22" s="19"/>
      <c r="M22" s="19"/>
      <c r="Q22" s="62"/>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row>
    <row r="23" spans="1:42" ht="14.5" x14ac:dyDescent="0.25">
      <c r="A23" s="19"/>
      <c r="B23" s="19"/>
      <c r="C23" s="19"/>
      <c r="D23" s="19"/>
      <c r="E23" s="19"/>
      <c r="F23" s="19"/>
      <c r="G23" s="19"/>
      <c r="H23" s="19"/>
      <c r="I23" s="19"/>
      <c r="J23" s="19"/>
      <c r="K23" s="19"/>
      <c r="L23" s="19"/>
      <c r="M23" s="19"/>
      <c r="Q23" s="62"/>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row>
    <row r="24" spans="1:42" ht="14.5" x14ac:dyDescent="0.25">
      <c r="A24" s="19"/>
      <c r="B24" s="19"/>
      <c r="C24" s="19"/>
      <c r="D24" s="19"/>
      <c r="E24" s="19"/>
      <c r="F24" s="19"/>
      <c r="G24" s="19"/>
      <c r="H24" s="19"/>
      <c r="I24" s="19"/>
      <c r="J24" s="19"/>
      <c r="K24" s="19"/>
      <c r="L24" s="19"/>
      <c r="M24" s="19"/>
      <c r="Q24" s="62"/>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row>
    <row r="25" spans="1:42" ht="14.5" x14ac:dyDescent="0.25">
      <c r="A25" s="19"/>
      <c r="B25" s="19"/>
      <c r="C25" s="19"/>
      <c r="D25" s="19"/>
      <c r="E25" s="19"/>
      <c r="F25" s="19"/>
      <c r="G25" s="19"/>
      <c r="H25" s="19"/>
      <c r="I25" s="19"/>
      <c r="J25" s="19"/>
      <c r="K25" s="19"/>
      <c r="L25" s="19"/>
      <c r="M25" s="19"/>
      <c r="Q25" s="62"/>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row>
    <row r="26" spans="1:42" ht="14.5" x14ac:dyDescent="0.25">
      <c r="A26" s="19"/>
      <c r="B26" s="19"/>
      <c r="C26" s="19"/>
      <c r="D26" s="19"/>
      <c r="E26" s="19"/>
      <c r="F26" s="19"/>
      <c r="G26" s="19"/>
      <c r="H26" s="19"/>
      <c r="I26" s="19"/>
      <c r="J26" s="19"/>
      <c r="K26" s="19"/>
      <c r="L26" s="19"/>
      <c r="M26" s="19"/>
      <c r="Q26" s="62"/>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row>
    <row r="27" spans="1:42" ht="14.5" x14ac:dyDescent="0.25">
      <c r="A27" s="19"/>
      <c r="B27" s="19"/>
      <c r="C27" s="19"/>
      <c r="D27" s="19"/>
      <c r="E27" s="19"/>
      <c r="F27" s="19"/>
      <c r="G27" s="19"/>
      <c r="H27" s="19"/>
      <c r="I27" s="19"/>
      <c r="J27" s="19"/>
      <c r="K27" s="19"/>
      <c r="L27" s="19"/>
      <c r="M27" s="19"/>
      <c r="Q27" s="62"/>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row>
    <row r="28" spans="1:42" ht="14.5" x14ac:dyDescent="0.25">
      <c r="A28" s="19"/>
      <c r="B28" s="19"/>
      <c r="C28" s="19"/>
      <c r="D28" s="19"/>
      <c r="E28" s="19"/>
      <c r="F28" s="19"/>
      <c r="G28" s="19"/>
      <c r="H28" s="19"/>
      <c r="I28" s="19"/>
      <c r="J28" s="19"/>
      <c r="K28" s="19"/>
      <c r="L28" s="19"/>
      <c r="M28" s="19"/>
      <c r="Q28" s="62"/>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row>
    <row r="29" spans="1:42" ht="14.5" x14ac:dyDescent="0.25">
      <c r="A29" s="19"/>
      <c r="B29" s="19"/>
      <c r="C29" s="19"/>
      <c r="D29" s="19"/>
      <c r="E29" s="19"/>
      <c r="F29" s="19"/>
      <c r="G29" s="19"/>
      <c r="H29" s="19"/>
      <c r="I29" s="19"/>
      <c r="J29" s="19"/>
      <c r="K29" s="19"/>
      <c r="L29" s="19"/>
      <c r="M29" s="19"/>
      <c r="Q29" s="62"/>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row>
    <row r="30" spans="1:42" ht="14.5" x14ac:dyDescent="0.25">
      <c r="A30" s="19"/>
      <c r="B30" s="19"/>
      <c r="C30" s="19"/>
      <c r="D30" s="19"/>
      <c r="E30" s="19"/>
      <c r="F30" s="19"/>
      <c r="G30" s="19"/>
      <c r="H30" s="19"/>
      <c r="I30" s="19"/>
      <c r="J30" s="19"/>
      <c r="K30" s="19"/>
      <c r="L30" s="19"/>
      <c r="M30" s="19"/>
      <c r="Q30" s="62"/>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row>
    <row r="31" spans="1:42" ht="15" customHeight="1" x14ac:dyDescent="0.25">
      <c r="A31" s="19"/>
      <c r="B31" s="19"/>
      <c r="C31" s="19"/>
      <c r="D31" s="19"/>
      <c r="E31" s="19"/>
      <c r="F31" s="19"/>
      <c r="G31" s="19"/>
      <c r="H31" s="19"/>
      <c r="I31" s="19"/>
      <c r="J31" s="19"/>
      <c r="K31" s="19"/>
      <c r="L31" s="19"/>
      <c r="M31" s="19"/>
      <c r="Q31" s="62"/>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row>
    <row r="32" spans="1:42" ht="15" customHeight="1" x14ac:dyDescent="0.25">
      <c r="A32" s="19"/>
      <c r="B32" s="19"/>
      <c r="C32" s="19"/>
      <c r="D32" s="19"/>
      <c r="E32" s="19"/>
      <c r="F32" s="19"/>
      <c r="G32" s="19"/>
      <c r="H32" s="19"/>
      <c r="I32" s="19"/>
      <c r="J32" s="19"/>
      <c r="K32" s="19"/>
      <c r="L32" s="19"/>
      <c r="M32" s="19"/>
      <c r="Q32" s="62"/>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row>
    <row r="33" spans="1:42" ht="14.5" x14ac:dyDescent="0.25">
      <c r="A33" s="19"/>
      <c r="B33" s="19"/>
      <c r="C33" s="19"/>
      <c r="D33" s="19"/>
      <c r="E33" s="19"/>
      <c r="F33" s="19"/>
      <c r="G33" s="19"/>
      <c r="H33" s="19"/>
      <c r="I33" s="19"/>
      <c r="J33" s="19"/>
      <c r="K33" s="19"/>
      <c r="L33" s="19"/>
      <c r="M33" s="19"/>
      <c r="Q33" s="62"/>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row>
    <row r="34" spans="1:42" ht="14.5" x14ac:dyDescent="0.25">
      <c r="A34" s="19"/>
      <c r="B34" s="19"/>
      <c r="C34" s="19"/>
      <c r="D34" s="19"/>
      <c r="E34" s="19"/>
      <c r="F34" s="19"/>
      <c r="G34" s="19"/>
      <c r="H34" s="19"/>
      <c r="I34" s="19"/>
      <c r="J34" s="19"/>
      <c r="K34" s="19"/>
      <c r="L34" s="19"/>
      <c r="M34" s="19"/>
      <c r="Q34" s="62"/>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row>
    <row r="35" spans="1:42" ht="14.5" x14ac:dyDescent="0.25">
      <c r="A35" s="19"/>
      <c r="B35" s="19"/>
      <c r="C35" s="19"/>
      <c r="D35" s="19"/>
      <c r="E35" s="19"/>
      <c r="F35" s="19"/>
      <c r="G35" s="19"/>
      <c r="H35" s="19"/>
      <c r="I35" s="19"/>
      <c r="J35" s="19"/>
      <c r="K35" s="19"/>
      <c r="L35" s="19"/>
      <c r="M35" s="19"/>
      <c r="Q35" s="62"/>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row>
    <row r="36" spans="1:42" ht="14.5" x14ac:dyDescent="0.25">
      <c r="A36" s="19"/>
      <c r="B36" s="19"/>
      <c r="C36" s="19"/>
      <c r="D36" s="19"/>
      <c r="E36" s="19"/>
      <c r="F36" s="19"/>
      <c r="G36" s="19"/>
      <c r="H36" s="19"/>
      <c r="I36" s="19"/>
      <c r="J36" s="19"/>
      <c r="K36" s="19"/>
      <c r="L36" s="19"/>
      <c r="M36" s="19"/>
      <c r="Q36" s="62"/>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row>
    <row r="37" spans="1:42" ht="14.5" x14ac:dyDescent="0.25">
      <c r="A37" s="19"/>
      <c r="B37" s="19"/>
      <c r="C37" s="19"/>
      <c r="D37" s="19"/>
      <c r="E37" s="19"/>
      <c r="F37" s="19"/>
      <c r="G37" s="19"/>
      <c r="H37" s="19"/>
      <c r="I37" s="19"/>
      <c r="J37" s="19"/>
      <c r="K37" s="19"/>
      <c r="L37" s="19"/>
      <c r="M37" s="19"/>
      <c r="Q37" s="62"/>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row>
    <row r="38" spans="1:42" ht="14.5" x14ac:dyDescent="0.25">
      <c r="A38" s="19"/>
      <c r="B38" s="19"/>
      <c r="C38" s="19"/>
      <c r="D38" s="19"/>
      <c r="E38" s="19"/>
      <c r="F38" s="19"/>
      <c r="G38" s="19"/>
      <c r="H38" s="19"/>
      <c r="I38" s="19"/>
      <c r="J38" s="19"/>
      <c r="K38" s="19"/>
      <c r="L38" s="19"/>
      <c r="M38" s="19"/>
      <c r="Q38" s="62"/>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row>
    <row r="39" spans="1:42" ht="14.5" x14ac:dyDescent="0.25">
      <c r="A39" s="19"/>
      <c r="B39" s="19"/>
      <c r="C39" s="19"/>
      <c r="D39" s="19"/>
      <c r="E39" s="19"/>
      <c r="F39" s="19"/>
      <c r="G39" s="19"/>
      <c r="H39" s="19"/>
      <c r="I39" s="19"/>
      <c r="J39" s="19"/>
      <c r="K39" s="19"/>
      <c r="L39" s="19"/>
      <c r="M39" s="19"/>
      <c r="Q39" s="62"/>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row>
    <row r="40" spans="1:42" ht="14.5" x14ac:dyDescent="0.25">
      <c r="A40" s="19"/>
      <c r="B40" s="19"/>
      <c r="C40" s="19"/>
      <c r="D40" s="19"/>
      <c r="E40" s="19"/>
      <c r="F40" s="19"/>
      <c r="G40" s="19"/>
      <c r="H40" s="19"/>
      <c r="I40" s="19"/>
      <c r="J40" s="19"/>
      <c r="K40" s="19"/>
      <c r="L40" s="19"/>
      <c r="M40" s="19"/>
      <c r="Q40" s="62"/>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row>
    <row r="41" spans="1:42" ht="14.5" x14ac:dyDescent="0.25">
      <c r="A41" s="19"/>
      <c r="B41" s="19"/>
      <c r="C41" s="19"/>
      <c r="D41" s="19"/>
      <c r="E41" s="19"/>
      <c r="F41" s="19"/>
      <c r="G41" s="19"/>
      <c r="H41" s="19"/>
      <c r="I41" s="19"/>
      <c r="J41" s="19"/>
      <c r="K41" s="19"/>
      <c r="L41" s="19"/>
      <c r="M41" s="19"/>
      <c r="Q41" s="62"/>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row>
    <row r="42" spans="1:42" ht="14.5" x14ac:dyDescent="0.25">
      <c r="A42" s="19"/>
      <c r="B42" s="19"/>
      <c r="C42" s="19"/>
      <c r="D42" s="19"/>
      <c r="E42" s="19"/>
      <c r="F42" s="19"/>
      <c r="G42" s="19"/>
      <c r="H42" s="19"/>
      <c r="I42" s="19"/>
      <c r="J42" s="19"/>
      <c r="K42" s="19"/>
      <c r="L42" s="19"/>
      <c r="M42" s="19"/>
      <c r="Q42" s="62"/>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row>
    <row r="43" spans="1:42" ht="14.5" x14ac:dyDescent="0.25">
      <c r="A43" s="19"/>
      <c r="B43" s="19"/>
      <c r="C43" s="19"/>
      <c r="D43" s="19"/>
      <c r="E43" s="19"/>
      <c r="F43" s="21"/>
      <c r="G43" s="19"/>
      <c r="H43" s="19"/>
      <c r="I43" s="19"/>
      <c r="J43" s="19"/>
      <c r="K43" s="19"/>
      <c r="L43" s="19"/>
      <c r="M43" s="19"/>
      <c r="Q43" s="62"/>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row>
    <row r="44" spans="1:42" ht="14.5" x14ac:dyDescent="0.25">
      <c r="A44" s="19"/>
      <c r="B44" s="19"/>
      <c r="C44" s="19"/>
      <c r="D44" s="19"/>
      <c r="E44" s="19"/>
      <c r="F44" s="21"/>
      <c r="G44" s="19"/>
      <c r="H44" s="19"/>
      <c r="I44" s="19"/>
      <c r="J44" s="19"/>
      <c r="K44" s="19"/>
      <c r="L44" s="19"/>
      <c r="M44" s="19"/>
      <c r="Q44" s="62"/>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row>
    <row r="45" spans="1:42" ht="14.5" x14ac:dyDescent="0.25">
      <c r="A45" s="19"/>
      <c r="B45" s="19"/>
      <c r="C45" s="19"/>
      <c r="D45" s="19"/>
      <c r="E45" s="19"/>
      <c r="F45" s="21"/>
      <c r="G45" s="19"/>
      <c r="H45" s="19"/>
      <c r="I45" s="19"/>
      <c r="J45" s="19"/>
      <c r="K45" s="19"/>
      <c r="L45" s="19"/>
      <c r="M45" s="19"/>
      <c r="Q45" s="62"/>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row>
    <row r="46" spans="1:42" ht="14.5" x14ac:dyDescent="0.25">
      <c r="A46" s="19"/>
      <c r="B46" s="19"/>
      <c r="C46" s="19"/>
      <c r="D46" s="19"/>
      <c r="E46" s="19"/>
      <c r="F46" s="21"/>
      <c r="G46" s="19"/>
      <c r="H46" s="19"/>
      <c r="I46" s="19"/>
      <c r="J46" s="19"/>
      <c r="K46" s="19"/>
      <c r="L46" s="19"/>
      <c r="M46" s="19"/>
      <c r="Q46" s="62"/>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row>
    <row r="47" spans="1:42" ht="14.5" x14ac:dyDescent="0.25">
      <c r="A47" s="19"/>
      <c r="B47" s="19"/>
      <c r="C47" s="19"/>
      <c r="D47" s="19"/>
      <c r="E47" s="19"/>
      <c r="F47" s="21"/>
      <c r="G47" s="19"/>
      <c r="H47" s="19"/>
      <c r="I47" s="19"/>
      <c r="J47" s="19"/>
      <c r="K47" s="19"/>
      <c r="L47" s="19"/>
      <c r="M47" s="19"/>
      <c r="Q47" s="62"/>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row>
    <row r="48" spans="1:42" ht="14.5" x14ac:dyDescent="0.25">
      <c r="A48" s="19"/>
      <c r="B48" s="19"/>
      <c r="C48" s="19"/>
      <c r="D48" s="19"/>
      <c r="E48" s="19"/>
      <c r="F48" s="21"/>
      <c r="G48" s="19"/>
      <c r="H48" s="19"/>
      <c r="I48" s="19"/>
      <c r="J48" s="19"/>
      <c r="K48" s="19"/>
      <c r="L48" s="19"/>
      <c r="M48" s="19"/>
      <c r="Q48" s="62"/>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row>
    <row r="49" spans="1:42" ht="14.5" x14ac:dyDescent="0.25">
      <c r="A49" s="19"/>
      <c r="B49" s="19"/>
      <c r="C49" s="19"/>
      <c r="D49" s="19"/>
      <c r="E49" s="19"/>
      <c r="F49" s="21"/>
      <c r="G49" s="19"/>
      <c r="H49" s="19"/>
      <c r="I49" s="19"/>
      <c r="J49" s="19"/>
      <c r="K49" s="19"/>
      <c r="L49" s="19"/>
      <c r="M49" s="19"/>
      <c r="Q49" s="62"/>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row>
    <row r="50" spans="1:42" ht="14.5" x14ac:dyDescent="0.25">
      <c r="A50" s="19"/>
      <c r="B50" s="19"/>
      <c r="C50" s="19"/>
      <c r="D50" s="19"/>
      <c r="E50" s="19"/>
      <c r="F50" s="21"/>
      <c r="G50" s="19"/>
      <c r="H50" s="19"/>
      <c r="I50" s="19"/>
      <c r="J50" s="19"/>
      <c r="K50" s="19"/>
      <c r="L50" s="19"/>
      <c r="M50" s="19"/>
      <c r="Q50" s="62"/>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row>
    <row r="51" spans="1:42" ht="14.5" x14ac:dyDescent="0.25">
      <c r="A51" s="19"/>
      <c r="B51" s="19"/>
      <c r="C51" s="19"/>
      <c r="D51" s="19"/>
      <c r="E51" s="19"/>
      <c r="F51" s="21"/>
      <c r="G51" s="19"/>
      <c r="H51" s="19"/>
      <c r="I51" s="19"/>
      <c r="J51" s="19"/>
      <c r="K51" s="19"/>
      <c r="L51" s="19"/>
      <c r="M51" s="19"/>
      <c r="Q51" s="62"/>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row>
    <row r="52" spans="1:42" ht="14.5" x14ac:dyDescent="0.25">
      <c r="A52" s="19"/>
      <c r="B52" s="19"/>
      <c r="C52" s="19"/>
      <c r="D52" s="19"/>
      <c r="E52" s="19"/>
      <c r="F52" s="21"/>
      <c r="G52" s="19"/>
      <c r="H52" s="19"/>
      <c r="I52" s="19"/>
      <c r="J52" s="19"/>
      <c r="K52" s="19"/>
      <c r="L52" s="19"/>
      <c r="M52" s="19"/>
      <c r="Q52" s="62"/>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row>
    <row r="53" spans="1:42" ht="14.5" x14ac:dyDescent="0.25">
      <c r="A53" s="19"/>
      <c r="B53" s="19"/>
      <c r="C53" s="19"/>
      <c r="D53" s="19"/>
      <c r="E53" s="19"/>
      <c r="F53" s="21"/>
      <c r="G53" s="19"/>
      <c r="H53" s="19"/>
      <c r="I53" s="19"/>
      <c r="J53" s="19"/>
      <c r="K53" s="19"/>
      <c r="L53" s="19"/>
      <c r="M53" s="19"/>
      <c r="Q53" s="62"/>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row>
    <row r="54" spans="1:42" ht="14.5" x14ac:dyDescent="0.25">
      <c r="A54" s="19"/>
      <c r="B54" s="19"/>
      <c r="C54" s="19"/>
      <c r="D54" s="19"/>
      <c r="E54" s="19"/>
      <c r="F54" s="21"/>
      <c r="G54" s="19"/>
      <c r="H54" s="19"/>
      <c r="I54" s="19"/>
      <c r="J54" s="19"/>
      <c r="K54" s="19"/>
      <c r="L54" s="19"/>
      <c r="M54" s="19"/>
      <c r="Q54" s="62"/>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row>
    <row r="55" spans="1:42" ht="14.5" x14ac:dyDescent="0.25">
      <c r="A55" s="19"/>
      <c r="B55" s="19"/>
      <c r="C55" s="19"/>
      <c r="D55" s="19"/>
      <c r="E55" s="19"/>
      <c r="F55" s="21"/>
      <c r="G55" s="19"/>
      <c r="H55" s="19"/>
      <c r="I55" s="19"/>
      <c r="J55" s="19"/>
      <c r="K55" s="19"/>
      <c r="L55" s="19"/>
      <c r="M55" s="19"/>
      <c r="Q55" s="62"/>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row>
    <row r="56" spans="1:42" ht="14.5" x14ac:dyDescent="0.25">
      <c r="A56" s="19"/>
      <c r="B56" s="19"/>
      <c r="C56" s="19"/>
      <c r="D56" s="19"/>
      <c r="E56" s="19"/>
      <c r="F56" s="21"/>
      <c r="G56" s="19"/>
      <c r="H56" s="19"/>
      <c r="I56" s="19"/>
      <c r="J56" s="19"/>
      <c r="K56" s="19"/>
      <c r="L56" s="19"/>
      <c r="M56" s="19"/>
      <c r="Q56" s="62"/>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row>
    <row r="57" spans="1:42" ht="14.5" x14ac:dyDescent="0.25">
      <c r="A57" s="19"/>
      <c r="B57" s="19"/>
      <c r="C57" s="19"/>
      <c r="D57" s="19"/>
      <c r="E57" s="19"/>
      <c r="F57" s="21"/>
      <c r="G57" s="19"/>
      <c r="H57" s="19"/>
      <c r="I57" s="19"/>
      <c r="J57" s="19"/>
      <c r="K57" s="19"/>
      <c r="L57" s="19"/>
      <c r="M57" s="19"/>
      <c r="Q57" s="62"/>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row>
    <row r="58" spans="1:42" ht="14.5" x14ac:dyDescent="0.25">
      <c r="A58" s="19"/>
      <c r="B58" s="19"/>
      <c r="C58" s="19"/>
      <c r="D58" s="19"/>
      <c r="E58" s="19"/>
      <c r="F58" s="21"/>
      <c r="G58" s="19"/>
      <c r="H58" s="19"/>
      <c r="I58" s="19"/>
      <c r="J58" s="19"/>
      <c r="K58" s="19"/>
      <c r="L58" s="19"/>
      <c r="M58" s="19"/>
      <c r="Q58" s="62"/>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row>
    <row r="59" spans="1:42" ht="14.5" x14ac:dyDescent="0.25">
      <c r="A59" s="19"/>
      <c r="B59" s="19"/>
      <c r="C59" s="19"/>
      <c r="D59" s="19"/>
      <c r="E59" s="19"/>
      <c r="F59" s="21"/>
      <c r="G59" s="19"/>
      <c r="H59" s="19"/>
      <c r="I59" s="19"/>
      <c r="J59" s="19"/>
      <c r="K59" s="19"/>
      <c r="L59" s="19"/>
      <c r="M59" s="19"/>
      <c r="Q59" s="62"/>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row>
    <row r="60" spans="1:42" ht="14.5" x14ac:dyDescent="0.25">
      <c r="A60" s="19"/>
      <c r="B60" s="19"/>
      <c r="C60" s="19"/>
      <c r="D60" s="19"/>
      <c r="E60" s="19"/>
      <c r="F60" s="21"/>
      <c r="G60" s="19"/>
      <c r="H60" s="19"/>
      <c r="I60" s="19"/>
      <c r="J60" s="19"/>
      <c r="K60" s="19"/>
      <c r="L60" s="19"/>
      <c r="M60" s="19"/>
      <c r="Q60" s="62"/>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row>
    <row r="61" spans="1:42" ht="14.5" x14ac:dyDescent="0.25">
      <c r="A61" s="19"/>
      <c r="B61" s="19"/>
      <c r="C61" s="19"/>
      <c r="D61" s="19"/>
      <c r="E61" s="19"/>
      <c r="F61" s="21"/>
      <c r="G61" s="19"/>
      <c r="H61" s="19"/>
      <c r="I61" s="19"/>
      <c r="J61" s="19"/>
      <c r="K61" s="19"/>
      <c r="L61" s="19"/>
      <c r="M61" s="19"/>
      <c r="Q61" s="62"/>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row>
    <row r="62" spans="1:42" ht="14.5" x14ac:dyDescent="0.25">
      <c r="A62" s="19"/>
      <c r="B62" s="19"/>
      <c r="C62" s="19"/>
      <c r="D62" s="19"/>
      <c r="E62" s="19"/>
      <c r="F62" s="21"/>
      <c r="G62" s="19"/>
      <c r="H62" s="19"/>
      <c r="I62" s="19"/>
      <c r="J62" s="19"/>
      <c r="K62" s="19"/>
      <c r="L62" s="19"/>
      <c r="M62" s="19"/>
      <c r="Q62" s="62"/>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row>
    <row r="63" spans="1:42" ht="14.5" x14ac:dyDescent="0.25">
      <c r="A63" s="19"/>
      <c r="B63" s="19"/>
      <c r="C63" s="19"/>
      <c r="D63" s="19"/>
      <c r="E63" s="19"/>
      <c r="F63" s="21"/>
      <c r="G63" s="19"/>
      <c r="H63" s="19"/>
      <c r="I63" s="19"/>
      <c r="J63" s="19"/>
      <c r="K63" s="19"/>
      <c r="L63" s="19"/>
      <c r="M63" s="19"/>
      <c r="Q63" s="62"/>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row>
    <row r="64" spans="1:42" ht="14.5" x14ac:dyDescent="0.25">
      <c r="A64" s="19"/>
      <c r="B64" s="19"/>
      <c r="C64" s="19"/>
      <c r="D64" s="19"/>
      <c r="E64" s="19"/>
      <c r="F64" s="21"/>
      <c r="G64" s="19"/>
      <c r="H64" s="19"/>
      <c r="I64" s="19"/>
      <c r="J64" s="19"/>
      <c r="K64" s="19"/>
      <c r="L64" s="19"/>
      <c r="M64" s="19"/>
      <c r="Q64" s="62"/>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row>
    <row r="65" spans="1:42" ht="14.5" x14ac:dyDescent="0.25">
      <c r="A65" s="19"/>
      <c r="B65" s="19"/>
      <c r="C65" s="19"/>
      <c r="D65" s="19"/>
      <c r="E65" s="19"/>
      <c r="F65" s="21"/>
      <c r="G65" s="19"/>
      <c r="H65" s="19"/>
      <c r="I65" s="19"/>
      <c r="J65" s="19"/>
      <c r="K65" s="19"/>
      <c r="L65" s="19"/>
      <c r="M65" s="19"/>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row>
    <row r="66" spans="1:42" ht="14.5" x14ac:dyDescent="0.25">
      <c r="A66" s="19"/>
      <c r="B66" s="19"/>
      <c r="C66" s="19"/>
      <c r="D66" s="19"/>
      <c r="E66" s="19"/>
      <c r="F66" s="21"/>
      <c r="G66" s="19"/>
      <c r="H66" s="19"/>
      <c r="I66" s="19"/>
      <c r="J66" s="19"/>
      <c r="K66" s="19"/>
      <c r="L66" s="19"/>
      <c r="M66" s="19"/>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row>
    <row r="67" spans="1:42" ht="14.5" x14ac:dyDescent="0.25">
      <c r="A67" s="19"/>
      <c r="B67" s="19"/>
      <c r="C67" s="19"/>
      <c r="D67" s="19"/>
      <c r="E67" s="19"/>
      <c r="F67" s="21"/>
      <c r="G67" s="19"/>
      <c r="H67" s="19"/>
      <c r="I67" s="19"/>
      <c r="J67" s="19"/>
      <c r="K67" s="19"/>
      <c r="L67" s="19"/>
      <c r="M67" s="19"/>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row>
    <row r="68" spans="1:42" ht="14.5" x14ac:dyDescent="0.25">
      <c r="A68" s="19"/>
      <c r="B68" s="19"/>
      <c r="C68" s="19"/>
      <c r="D68" s="19"/>
      <c r="E68" s="19"/>
      <c r="F68" s="21"/>
      <c r="G68" s="19"/>
      <c r="H68" s="19"/>
      <c r="I68" s="19"/>
      <c r="J68" s="19"/>
      <c r="K68" s="19"/>
      <c r="L68" s="19"/>
      <c r="M68" s="19"/>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row>
    <row r="69" spans="1:42" ht="14.5" x14ac:dyDescent="0.25">
      <c r="A69" s="19"/>
      <c r="B69" s="19"/>
      <c r="C69" s="19"/>
      <c r="D69" s="19"/>
      <c r="E69" s="19"/>
      <c r="F69" s="21"/>
      <c r="G69" s="19"/>
      <c r="H69" s="19"/>
      <c r="I69" s="19"/>
      <c r="J69" s="19"/>
      <c r="K69" s="19"/>
      <c r="L69" s="19"/>
      <c r="M69" s="19"/>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row>
    <row r="70" spans="1:42" ht="14.5" x14ac:dyDescent="0.25">
      <c r="A70" s="19"/>
      <c r="B70" s="19"/>
      <c r="C70" s="19"/>
      <c r="D70" s="19"/>
      <c r="E70" s="19"/>
      <c r="F70" s="21"/>
      <c r="G70" s="19"/>
      <c r="H70" s="19"/>
      <c r="I70" s="19"/>
      <c r="J70" s="19"/>
      <c r="K70" s="19"/>
      <c r="L70" s="19"/>
      <c r="M70" s="19"/>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row>
    <row r="71" spans="1:42" ht="14.5" x14ac:dyDescent="0.25">
      <c r="A71" s="19"/>
      <c r="B71" s="19"/>
      <c r="C71" s="19"/>
      <c r="D71" s="19"/>
      <c r="E71" s="19"/>
      <c r="F71" s="21"/>
      <c r="G71" s="19"/>
      <c r="H71" s="19"/>
      <c r="I71" s="19"/>
      <c r="J71" s="19"/>
      <c r="K71" s="19"/>
      <c r="L71" s="19"/>
      <c r="M71" s="19"/>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row>
    <row r="72" spans="1:42" ht="14.5" x14ac:dyDescent="0.25">
      <c r="A72" s="19"/>
      <c r="B72" s="19"/>
      <c r="C72" s="19"/>
      <c r="D72" s="19"/>
      <c r="E72" s="19"/>
      <c r="F72" s="21"/>
      <c r="G72" s="19"/>
      <c r="H72" s="19"/>
      <c r="I72" s="19"/>
      <c r="J72" s="19"/>
      <c r="K72" s="19"/>
      <c r="L72" s="19"/>
      <c r="M72" s="19"/>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row>
    <row r="73" spans="1:42" s="19" customFormat="1" ht="14.5" x14ac:dyDescent="0.25">
      <c r="F73" s="21"/>
      <c r="N73" s="21"/>
    </row>
    <row r="74" spans="1:42" s="19" customFormat="1" ht="14.5" x14ac:dyDescent="0.25">
      <c r="F74" s="21"/>
      <c r="N74" s="21"/>
    </row>
    <row r="75" spans="1:42" s="19" customFormat="1" ht="14.5" x14ac:dyDescent="0.25">
      <c r="F75" s="21"/>
      <c r="N75" s="21"/>
    </row>
    <row r="76" spans="1:42" s="19" customFormat="1" ht="14.5" x14ac:dyDescent="0.25">
      <c r="F76" s="21"/>
      <c r="N76" s="21"/>
    </row>
    <row r="77" spans="1:42" s="19" customFormat="1" ht="14.5" x14ac:dyDescent="0.25">
      <c r="F77" s="21"/>
      <c r="N77" s="21"/>
    </row>
    <row r="78" spans="1:42" s="19" customFormat="1" ht="14.5" x14ac:dyDescent="0.25">
      <c r="F78" s="21"/>
      <c r="N78" s="21"/>
    </row>
    <row r="79" spans="1:42" s="19" customFormat="1" ht="14.5" x14ac:dyDescent="0.25">
      <c r="F79" s="21"/>
      <c r="N79" s="21"/>
    </row>
    <row r="80" spans="1:42" s="19" customFormat="1" ht="14.5" x14ac:dyDescent="0.25">
      <c r="F80" s="21"/>
      <c r="N80" s="21"/>
    </row>
    <row r="81" spans="6:14" s="19" customFormat="1" ht="14.5" x14ac:dyDescent="0.25">
      <c r="F81" s="21"/>
      <c r="N81" s="21"/>
    </row>
    <row r="82" spans="6:14" s="19" customFormat="1" ht="14.5" x14ac:dyDescent="0.25">
      <c r="F82" s="21"/>
      <c r="N82" s="21"/>
    </row>
    <row r="83" spans="6:14" s="19" customFormat="1" ht="14.5" x14ac:dyDescent="0.25">
      <c r="F83" s="21"/>
      <c r="N83" s="21"/>
    </row>
    <row r="84" spans="6:14" s="19" customFormat="1" ht="14.5" x14ac:dyDescent="0.25">
      <c r="F84" s="21"/>
      <c r="N84" s="21"/>
    </row>
    <row r="85" spans="6:14" s="19" customFormat="1" ht="14.5" x14ac:dyDescent="0.25">
      <c r="F85" s="21"/>
      <c r="N85" s="21"/>
    </row>
    <row r="86" spans="6:14" s="19" customFormat="1" ht="14.5" x14ac:dyDescent="0.25">
      <c r="F86" s="21"/>
      <c r="N86" s="21"/>
    </row>
    <row r="87" spans="6:14" s="19" customFormat="1" ht="14.5" x14ac:dyDescent="0.25">
      <c r="F87" s="21"/>
      <c r="N87" s="21"/>
    </row>
    <row r="88" spans="6:14" s="19" customFormat="1" ht="14.5" x14ac:dyDescent="0.25">
      <c r="F88" s="21"/>
      <c r="N88" s="21"/>
    </row>
    <row r="89" spans="6:14" s="19" customFormat="1" ht="14.5" x14ac:dyDescent="0.25">
      <c r="F89" s="21"/>
      <c r="N89" s="21"/>
    </row>
    <row r="90" spans="6:14" s="19" customFormat="1" ht="14.5" x14ac:dyDescent="0.25">
      <c r="F90" s="21"/>
      <c r="N90" s="21"/>
    </row>
    <row r="91" spans="6:14" s="19" customFormat="1" ht="14.5" x14ac:dyDescent="0.25">
      <c r="F91" s="21"/>
      <c r="N91" s="21"/>
    </row>
    <row r="92" spans="6:14" s="19" customFormat="1" ht="14.5" x14ac:dyDescent="0.25">
      <c r="F92" s="21"/>
      <c r="N92" s="21"/>
    </row>
    <row r="93" spans="6:14" s="19" customFormat="1" ht="14.5" x14ac:dyDescent="0.25">
      <c r="F93" s="21"/>
      <c r="N93" s="21"/>
    </row>
    <row r="94" spans="6:14" s="19" customFormat="1" ht="14.5" x14ac:dyDescent="0.25">
      <c r="F94" s="21"/>
      <c r="N94" s="21"/>
    </row>
    <row r="95" spans="6:14" s="19" customFormat="1" ht="14.5" x14ac:dyDescent="0.25">
      <c r="F95" s="21"/>
      <c r="N95" s="21"/>
    </row>
    <row r="96" spans="6:14" s="19" customFormat="1" ht="14.5" x14ac:dyDescent="0.25">
      <c r="F96" s="21"/>
      <c r="N96" s="21"/>
    </row>
    <row r="97" spans="6:14" s="19" customFormat="1" ht="14.5" x14ac:dyDescent="0.25">
      <c r="F97" s="21"/>
      <c r="N97" s="21"/>
    </row>
    <row r="98" spans="6:14" s="19" customFormat="1" ht="14.5" x14ac:dyDescent="0.25">
      <c r="F98" s="21"/>
      <c r="N98" s="21"/>
    </row>
    <row r="99" spans="6:14" s="19" customFormat="1" ht="14.5" x14ac:dyDescent="0.25">
      <c r="F99" s="21"/>
      <c r="N99" s="21"/>
    </row>
    <row r="100" spans="6:14" s="19" customFormat="1" ht="14.5" x14ac:dyDescent="0.25">
      <c r="F100" s="21"/>
      <c r="N100" s="21"/>
    </row>
    <row r="101" spans="6:14" s="19" customFormat="1" ht="14.5" x14ac:dyDescent="0.25">
      <c r="F101" s="21"/>
      <c r="N101" s="21"/>
    </row>
    <row r="102" spans="6:14" s="19" customFormat="1" ht="14.5" x14ac:dyDescent="0.25">
      <c r="F102" s="21"/>
      <c r="N102" s="21"/>
    </row>
    <row r="103" spans="6:14" s="19" customFormat="1" ht="14.5" x14ac:dyDescent="0.25">
      <c r="F103" s="21"/>
      <c r="N103" s="21"/>
    </row>
    <row r="104" spans="6:14" s="19" customFormat="1" ht="14.5" x14ac:dyDescent="0.25">
      <c r="F104" s="21"/>
      <c r="N104" s="21"/>
    </row>
    <row r="105" spans="6:14" s="19" customFormat="1" ht="14.5" x14ac:dyDescent="0.25">
      <c r="F105" s="21"/>
      <c r="N105" s="21"/>
    </row>
    <row r="106" spans="6:14" s="19" customFormat="1" ht="14.5" x14ac:dyDescent="0.25">
      <c r="F106" s="21"/>
      <c r="N106" s="21"/>
    </row>
    <row r="107" spans="6:14" s="19" customFormat="1" ht="14.5" x14ac:dyDescent="0.25">
      <c r="F107" s="21"/>
      <c r="N107" s="21"/>
    </row>
    <row r="108" spans="6:14" s="19" customFormat="1" ht="14.5" x14ac:dyDescent="0.25">
      <c r="F108" s="21"/>
      <c r="N108" s="21"/>
    </row>
    <row r="109" spans="6:14" s="19" customFormat="1" ht="14.5" x14ac:dyDescent="0.25">
      <c r="F109" s="21"/>
      <c r="N109" s="21"/>
    </row>
    <row r="110" spans="6:14" s="19" customFormat="1" ht="14.5" x14ac:dyDescent="0.25">
      <c r="F110" s="21"/>
      <c r="N110" s="21"/>
    </row>
    <row r="111" spans="6:14" s="19" customFormat="1" ht="14.5" x14ac:dyDescent="0.25">
      <c r="F111" s="21"/>
      <c r="N111" s="21"/>
    </row>
    <row r="112" spans="6:14" s="19" customFormat="1" ht="14.5" x14ac:dyDescent="0.25">
      <c r="F112" s="21"/>
      <c r="N112" s="21"/>
    </row>
    <row r="113" spans="1:14" s="19" customFormat="1" ht="14.5" x14ac:dyDescent="0.25">
      <c r="F113" s="21"/>
      <c r="N113" s="21"/>
    </row>
    <row r="114" spans="1:14" s="19" customFormat="1" ht="14.5" x14ac:dyDescent="0.25">
      <c r="F114" s="21"/>
      <c r="N114" s="21"/>
    </row>
    <row r="115" spans="1:14" s="19" customFormat="1" ht="14.5" x14ac:dyDescent="0.25">
      <c r="F115" s="21"/>
      <c r="N115" s="21"/>
    </row>
    <row r="116" spans="1:14" s="19" customFormat="1" ht="14.5" x14ac:dyDescent="0.25">
      <c r="F116" s="21"/>
      <c r="N116" s="21"/>
    </row>
    <row r="117" spans="1:14" s="19" customFormat="1" ht="14.5" x14ac:dyDescent="0.25">
      <c r="F117" s="21"/>
      <c r="N117" s="21"/>
    </row>
    <row r="118" spans="1:14" s="19" customFormat="1" ht="14.5" x14ac:dyDescent="0.25">
      <c r="F118" s="21"/>
      <c r="N118" s="21"/>
    </row>
    <row r="119" spans="1:14" s="19" customFormat="1" ht="14.5" x14ac:dyDescent="0.25">
      <c r="F119" s="21"/>
      <c r="N119" s="21"/>
    </row>
    <row r="120" spans="1:14" s="19" customFormat="1" ht="14.5" x14ac:dyDescent="0.25">
      <c r="F120" s="21"/>
      <c r="N120" s="21"/>
    </row>
    <row r="121" spans="1:14" s="19" customFormat="1" ht="14.5" x14ac:dyDescent="0.25">
      <c r="F121" s="21"/>
      <c r="N121" s="21"/>
    </row>
    <row r="122" spans="1:14" s="19" customFormat="1" ht="14.5" x14ac:dyDescent="0.25">
      <c r="F122" s="21"/>
      <c r="N122" s="21"/>
    </row>
    <row r="123" spans="1:14" s="19" customFormat="1" ht="14.5" x14ac:dyDescent="0.25">
      <c r="F123" s="21"/>
      <c r="N123" s="21"/>
    </row>
    <row r="124" spans="1:14" s="19" customFormat="1" ht="14.5" x14ac:dyDescent="0.25">
      <c r="F124" s="21"/>
      <c r="N124" s="21"/>
    </row>
    <row r="125" spans="1:14" s="19" customFormat="1" ht="14.5" x14ac:dyDescent="0.25">
      <c r="F125" s="21"/>
      <c r="N125" s="21"/>
    </row>
    <row r="126" spans="1:14" s="19" customFormat="1" ht="14.5" x14ac:dyDescent="0.25">
      <c r="F126" s="21"/>
      <c r="N126" s="21"/>
    </row>
    <row r="127" spans="1:14" s="19" customFormat="1" ht="14.5" x14ac:dyDescent="0.25">
      <c r="A127" s="20"/>
      <c r="B127" s="20"/>
      <c r="C127" s="20"/>
      <c r="D127" s="20"/>
      <c r="E127" s="20"/>
      <c r="F127" s="22"/>
      <c r="J127" s="20"/>
      <c r="K127" s="20"/>
      <c r="L127" s="20"/>
      <c r="M127" s="20"/>
      <c r="N127" s="21"/>
    </row>
    <row r="128" spans="1:14" s="19" customFormat="1" ht="14.5" x14ac:dyDescent="0.25">
      <c r="A128" s="20"/>
      <c r="B128" s="20"/>
      <c r="C128" s="20"/>
      <c r="D128" s="20"/>
      <c r="E128" s="20"/>
      <c r="F128" s="22"/>
      <c r="J128" s="20"/>
      <c r="K128" s="20"/>
      <c r="L128" s="20"/>
      <c r="M128" s="20"/>
      <c r="N128" s="21"/>
    </row>
    <row r="129" spans="1:14" s="19" customFormat="1" ht="14.5" x14ac:dyDescent="0.25">
      <c r="A129" s="20"/>
      <c r="B129" s="20"/>
      <c r="C129" s="20"/>
      <c r="D129" s="20"/>
      <c r="E129" s="20"/>
      <c r="F129" s="22"/>
      <c r="J129" s="20"/>
      <c r="K129" s="20"/>
      <c r="L129" s="20"/>
      <c r="M129" s="20"/>
      <c r="N129" s="21"/>
    </row>
    <row r="130" spans="1:14" s="19" customFormat="1" ht="14.5" x14ac:dyDescent="0.25">
      <c r="A130" s="20"/>
      <c r="B130" s="20"/>
      <c r="C130" s="20"/>
      <c r="D130" s="20"/>
      <c r="E130" s="20"/>
      <c r="F130" s="22"/>
      <c r="J130" s="20"/>
      <c r="K130" s="20"/>
      <c r="L130" s="20"/>
      <c r="M130" s="20"/>
      <c r="N130" s="21"/>
    </row>
    <row r="131" spans="1:14" s="19" customFormat="1" ht="14.5" x14ac:dyDescent="0.25">
      <c r="A131" s="20"/>
      <c r="B131" s="20"/>
      <c r="C131" s="20"/>
      <c r="D131" s="20"/>
      <c r="E131" s="20"/>
      <c r="F131" s="22"/>
      <c r="J131" s="20"/>
      <c r="K131" s="20"/>
      <c r="L131" s="20"/>
      <c r="M131" s="20"/>
      <c r="N131" s="21"/>
    </row>
    <row r="132" spans="1:14" s="19" customFormat="1" ht="14.5" x14ac:dyDescent="0.25">
      <c r="A132" s="20"/>
      <c r="B132" s="20"/>
      <c r="C132" s="20"/>
      <c r="D132" s="20"/>
      <c r="E132" s="20"/>
      <c r="F132" s="22"/>
      <c r="J132" s="20"/>
      <c r="K132" s="20"/>
      <c r="L132" s="20"/>
      <c r="M132" s="20"/>
      <c r="N132" s="21"/>
    </row>
    <row r="133" spans="1:14" s="19" customFormat="1" ht="14.5" x14ac:dyDescent="0.25">
      <c r="A133" s="20"/>
      <c r="B133" s="20"/>
      <c r="C133" s="20"/>
      <c r="D133" s="20"/>
      <c r="E133" s="20"/>
      <c r="F133" s="22"/>
      <c r="J133" s="20"/>
      <c r="K133" s="20"/>
      <c r="L133" s="20"/>
      <c r="M133" s="20"/>
      <c r="N133" s="21"/>
    </row>
    <row r="134" spans="1:14" s="19" customFormat="1" ht="14.5" x14ac:dyDescent="0.25">
      <c r="A134" s="20"/>
      <c r="B134" s="20"/>
      <c r="C134" s="20"/>
      <c r="D134" s="20"/>
      <c r="E134" s="20"/>
      <c r="F134" s="22"/>
      <c r="G134" s="20"/>
      <c r="H134" s="20"/>
      <c r="I134" s="20"/>
      <c r="J134" s="20"/>
      <c r="K134" s="20"/>
      <c r="L134" s="20"/>
      <c r="M134" s="20"/>
      <c r="N134" s="21"/>
    </row>
    <row r="135" spans="1:14" s="19" customFormat="1" ht="14.5" x14ac:dyDescent="0.25">
      <c r="A135" s="20"/>
      <c r="B135" s="20"/>
      <c r="C135" s="20"/>
      <c r="D135" s="20"/>
      <c r="E135" s="20"/>
      <c r="F135" s="22"/>
      <c r="G135" s="20"/>
      <c r="H135" s="20"/>
      <c r="I135" s="20"/>
      <c r="J135" s="20"/>
      <c r="K135" s="20"/>
      <c r="L135" s="20"/>
      <c r="M135" s="20"/>
      <c r="N135" s="21"/>
    </row>
    <row r="136" spans="1:14" s="19" customFormat="1" ht="14.5" x14ac:dyDescent="0.25">
      <c r="A136" s="20"/>
      <c r="B136" s="20"/>
      <c r="C136" s="20"/>
      <c r="D136" s="20"/>
      <c r="E136" s="20"/>
      <c r="F136" s="22"/>
      <c r="G136" s="20"/>
      <c r="H136" s="20"/>
      <c r="I136" s="20"/>
      <c r="J136" s="20"/>
      <c r="K136" s="20"/>
      <c r="L136" s="20"/>
      <c r="M136" s="20"/>
      <c r="N136" s="21"/>
    </row>
    <row r="137" spans="1:14" s="19" customFormat="1" ht="14.5" x14ac:dyDescent="0.25">
      <c r="A137" s="20"/>
      <c r="B137" s="20"/>
      <c r="C137" s="20"/>
      <c r="D137" s="20"/>
      <c r="E137" s="20"/>
      <c r="F137" s="22"/>
      <c r="G137" s="20"/>
      <c r="H137" s="20"/>
      <c r="I137" s="20"/>
      <c r="J137" s="20"/>
      <c r="K137" s="20"/>
      <c r="L137" s="20"/>
      <c r="M137" s="20"/>
      <c r="N137" s="21"/>
    </row>
    <row r="138" spans="1:14" s="19" customFormat="1" ht="14.5" x14ac:dyDescent="0.25">
      <c r="A138" s="20"/>
      <c r="B138" s="20"/>
      <c r="C138" s="20"/>
      <c r="D138" s="20"/>
      <c r="E138" s="20"/>
      <c r="F138" s="22"/>
      <c r="G138" s="20"/>
      <c r="H138" s="20"/>
      <c r="I138" s="20"/>
      <c r="J138" s="20"/>
      <c r="K138" s="20"/>
      <c r="L138" s="20"/>
      <c r="M138" s="20"/>
      <c r="N138" s="21"/>
    </row>
    <row r="139" spans="1:14" s="19" customFormat="1" ht="14.5" x14ac:dyDescent="0.25">
      <c r="A139" s="20"/>
      <c r="B139" s="20"/>
      <c r="C139" s="20"/>
      <c r="D139" s="20"/>
      <c r="E139" s="20"/>
      <c r="F139" s="22"/>
      <c r="G139" s="20"/>
      <c r="H139" s="20"/>
      <c r="I139" s="20"/>
      <c r="J139" s="20"/>
      <c r="K139" s="20"/>
      <c r="L139" s="20"/>
      <c r="M139" s="20"/>
      <c r="N139" s="21"/>
    </row>
    <row r="140" spans="1:14" s="19" customFormat="1" ht="14.5" x14ac:dyDescent="0.25">
      <c r="A140" s="20"/>
      <c r="B140" s="20"/>
      <c r="C140" s="20"/>
      <c r="D140" s="20"/>
      <c r="E140" s="20"/>
      <c r="F140" s="22"/>
      <c r="G140" s="20"/>
      <c r="H140" s="20"/>
      <c r="I140" s="20"/>
      <c r="J140" s="20"/>
      <c r="K140" s="20"/>
      <c r="L140" s="20"/>
      <c r="M140" s="20"/>
      <c r="N140" s="21"/>
    </row>
    <row r="141" spans="1:14" s="19" customFormat="1" ht="14.5" x14ac:dyDescent="0.25">
      <c r="A141" s="20"/>
      <c r="B141" s="20"/>
      <c r="C141" s="20"/>
      <c r="D141" s="20"/>
      <c r="E141" s="20"/>
      <c r="F141" s="22"/>
      <c r="G141" s="20"/>
      <c r="H141" s="20"/>
      <c r="I141" s="20"/>
      <c r="J141" s="20"/>
      <c r="K141" s="20"/>
      <c r="L141" s="20"/>
      <c r="M141" s="20"/>
      <c r="N141" s="21"/>
    </row>
    <row r="142" spans="1:14" s="19" customFormat="1" ht="14.5" x14ac:dyDescent="0.25">
      <c r="A142" s="20"/>
      <c r="B142" s="20"/>
      <c r="C142" s="20"/>
      <c r="D142" s="20"/>
      <c r="E142" s="20"/>
      <c r="F142" s="22"/>
      <c r="G142" s="20"/>
      <c r="H142" s="20"/>
      <c r="I142" s="20"/>
      <c r="J142" s="20"/>
      <c r="K142" s="20"/>
      <c r="L142" s="20"/>
      <c r="M142" s="20"/>
      <c r="N142" s="21"/>
    </row>
    <row r="143" spans="1:14" s="19" customFormat="1" ht="14.5" x14ac:dyDescent="0.25">
      <c r="A143" s="20"/>
      <c r="B143" s="20"/>
      <c r="C143" s="20"/>
      <c r="D143" s="20"/>
      <c r="E143" s="20"/>
      <c r="F143" s="22"/>
      <c r="G143" s="20"/>
      <c r="H143" s="20"/>
      <c r="I143" s="20"/>
      <c r="J143" s="20"/>
      <c r="K143" s="20"/>
      <c r="L143" s="20"/>
      <c r="M143" s="20"/>
      <c r="N143" s="21"/>
    </row>
    <row r="144" spans="1:14" s="19" customFormat="1" ht="14.5" x14ac:dyDescent="0.25">
      <c r="A144" s="20"/>
      <c r="B144" s="20"/>
      <c r="C144" s="20"/>
      <c r="D144" s="20"/>
      <c r="E144" s="20"/>
      <c r="F144" s="22"/>
      <c r="G144" s="20"/>
      <c r="H144" s="20"/>
      <c r="I144" s="20"/>
      <c r="J144" s="20"/>
      <c r="K144" s="20"/>
      <c r="L144" s="20"/>
      <c r="M144" s="20"/>
      <c r="N144" s="21"/>
    </row>
    <row r="145" spans="1:14" s="19" customFormat="1" ht="14.5" x14ac:dyDescent="0.25">
      <c r="A145" s="20"/>
      <c r="B145" s="20"/>
      <c r="C145" s="20"/>
      <c r="D145" s="20"/>
      <c r="E145" s="20"/>
      <c r="F145" s="22"/>
      <c r="G145" s="20"/>
      <c r="H145" s="20"/>
      <c r="I145" s="20"/>
      <c r="J145" s="20"/>
      <c r="K145" s="20"/>
      <c r="L145" s="20"/>
      <c r="M145" s="20"/>
      <c r="N145" s="21"/>
    </row>
    <row r="146" spans="1:14" s="19" customFormat="1" ht="14.5" x14ac:dyDescent="0.25">
      <c r="A146" s="20"/>
      <c r="B146" s="20"/>
      <c r="C146" s="20"/>
      <c r="D146" s="20"/>
      <c r="E146" s="20"/>
      <c r="F146" s="22"/>
      <c r="G146" s="20"/>
      <c r="H146" s="20"/>
      <c r="I146" s="20"/>
      <c r="J146" s="20"/>
      <c r="K146" s="20"/>
      <c r="L146" s="20"/>
      <c r="M146" s="20"/>
      <c r="N146" s="21"/>
    </row>
    <row r="147" spans="1:14" s="19" customFormat="1" ht="14.5" x14ac:dyDescent="0.25">
      <c r="A147" s="20"/>
      <c r="B147" s="20"/>
      <c r="C147" s="20"/>
      <c r="D147" s="20"/>
      <c r="E147" s="20"/>
      <c r="F147" s="22"/>
      <c r="G147" s="20"/>
      <c r="H147" s="20"/>
      <c r="I147" s="20"/>
      <c r="J147" s="20"/>
      <c r="K147" s="20"/>
      <c r="L147" s="20"/>
      <c r="M147" s="20"/>
      <c r="N147" s="21"/>
    </row>
    <row r="148" spans="1:14" s="19" customFormat="1" ht="14.5" x14ac:dyDescent="0.25">
      <c r="A148" s="20"/>
      <c r="B148" s="20"/>
      <c r="C148" s="20"/>
      <c r="D148" s="20"/>
      <c r="E148" s="20"/>
      <c r="F148" s="22"/>
      <c r="G148" s="20"/>
      <c r="H148" s="20"/>
      <c r="I148" s="20"/>
      <c r="J148" s="20"/>
      <c r="K148" s="20"/>
      <c r="L148" s="20"/>
      <c r="M148" s="20"/>
      <c r="N148" s="21"/>
    </row>
    <row r="149" spans="1:14" s="19" customFormat="1" ht="14.5" x14ac:dyDescent="0.25">
      <c r="A149" s="20"/>
      <c r="B149" s="20"/>
      <c r="C149" s="20"/>
      <c r="D149" s="20"/>
      <c r="E149" s="20"/>
      <c r="F149" s="22"/>
      <c r="G149" s="20"/>
      <c r="H149" s="20"/>
      <c r="I149" s="20"/>
      <c r="J149" s="20"/>
      <c r="K149" s="20"/>
      <c r="L149" s="20"/>
      <c r="M149" s="20"/>
      <c r="N149" s="21"/>
    </row>
    <row r="150" spans="1:14" s="19" customFormat="1" ht="14.5" x14ac:dyDescent="0.25">
      <c r="A150" s="20"/>
      <c r="B150" s="20"/>
      <c r="C150" s="20"/>
      <c r="D150" s="20"/>
      <c r="E150" s="20"/>
      <c r="F150" s="22"/>
      <c r="G150" s="20"/>
      <c r="H150" s="20"/>
      <c r="I150" s="20"/>
      <c r="J150" s="20"/>
      <c r="K150" s="20"/>
      <c r="L150" s="20"/>
      <c r="M150" s="20"/>
      <c r="N150" s="21"/>
    </row>
    <row r="151" spans="1:14" s="19" customFormat="1" ht="14.5" x14ac:dyDescent="0.25">
      <c r="A151" s="20"/>
      <c r="B151" s="20"/>
      <c r="C151" s="20"/>
      <c r="D151" s="20"/>
      <c r="E151" s="20"/>
      <c r="F151" s="22"/>
      <c r="G151" s="20"/>
      <c r="H151" s="20"/>
      <c r="I151" s="20"/>
      <c r="J151" s="20"/>
      <c r="K151" s="20"/>
      <c r="L151" s="20"/>
      <c r="M151" s="20"/>
      <c r="N151" s="21"/>
    </row>
    <row r="152" spans="1:14" s="19" customFormat="1" ht="14.5" x14ac:dyDescent="0.25">
      <c r="A152" s="20"/>
      <c r="B152" s="20"/>
      <c r="C152" s="20"/>
      <c r="D152" s="20"/>
      <c r="E152" s="20"/>
      <c r="F152" s="22"/>
      <c r="G152" s="20"/>
      <c r="H152" s="20"/>
      <c r="I152" s="20"/>
      <c r="J152" s="20"/>
      <c r="K152" s="20"/>
      <c r="L152" s="20"/>
      <c r="M152" s="20"/>
      <c r="N152" s="21"/>
    </row>
    <row r="153" spans="1:14" s="19" customFormat="1" ht="14.5" x14ac:dyDescent="0.25">
      <c r="A153" s="20"/>
      <c r="B153" s="20"/>
      <c r="C153" s="20"/>
      <c r="D153" s="20"/>
      <c r="E153" s="20"/>
      <c r="F153" s="22"/>
      <c r="G153" s="20"/>
      <c r="H153" s="20"/>
      <c r="I153" s="20"/>
      <c r="J153" s="20"/>
      <c r="K153" s="20"/>
      <c r="L153" s="20"/>
      <c r="M153" s="20"/>
      <c r="N153" s="21"/>
    </row>
    <row r="154" spans="1:14" s="19" customFormat="1" ht="14.5" x14ac:dyDescent="0.25">
      <c r="A154" s="20"/>
      <c r="B154" s="20"/>
      <c r="C154" s="20"/>
      <c r="D154" s="20"/>
      <c r="E154" s="20"/>
      <c r="F154" s="22"/>
      <c r="G154" s="20"/>
      <c r="H154" s="20"/>
      <c r="I154" s="20"/>
      <c r="J154" s="20"/>
      <c r="K154" s="20"/>
      <c r="L154" s="20"/>
      <c r="M154" s="20"/>
      <c r="N154" s="21"/>
    </row>
    <row r="155" spans="1:14" s="19" customFormat="1" ht="14.5" x14ac:dyDescent="0.25">
      <c r="A155" s="20"/>
      <c r="B155" s="20"/>
      <c r="C155" s="20"/>
      <c r="D155" s="20"/>
      <c r="E155" s="20"/>
      <c r="F155" s="22"/>
      <c r="G155" s="20"/>
      <c r="H155" s="20"/>
      <c r="I155" s="20"/>
      <c r="J155" s="20"/>
      <c r="K155" s="20"/>
      <c r="L155" s="20"/>
      <c r="M155" s="20"/>
      <c r="N155" s="21"/>
    </row>
    <row r="156" spans="1:14" s="19" customFormat="1" ht="14.5" x14ac:dyDescent="0.25">
      <c r="A156" s="20"/>
      <c r="B156" s="20"/>
      <c r="C156" s="20"/>
      <c r="D156" s="20"/>
      <c r="E156" s="20"/>
      <c r="F156" s="22"/>
      <c r="G156" s="20"/>
      <c r="H156" s="20"/>
      <c r="I156" s="20"/>
      <c r="J156" s="20"/>
      <c r="K156" s="20"/>
      <c r="L156" s="20"/>
      <c r="M156" s="20"/>
      <c r="N156" s="21"/>
    </row>
    <row r="157" spans="1:14" s="19" customFormat="1" ht="14.5" x14ac:dyDescent="0.25">
      <c r="A157" s="20"/>
      <c r="B157" s="20"/>
      <c r="C157" s="20"/>
      <c r="D157" s="20"/>
      <c r="E157" s="20"/>
      <c r="F157" s="22"/>
      <c r="G157" s="20"/>
      <c r="H157" s="20"/>
      <c r="I157" s="20"/>
      <c r="J157" s="20"/>
      <c r="K157" s="20"/>
      <c r="L157" s="20"/>
      <c r="M157" s="20"/>
      <c r="N157" s="21"/>
    </row>
    <row r="158" spans="1:14" s="19" customFormat="1" ht="14.5" x14ac:dyDescent="0.25">
      <c r="A158" s="20"/>
      <c r="B158" s="20"/>
      <c r="C158" s="20"/>
      <c r="D158" s="20"/>
      <c r="E158" s="20"/>
      <c r="F158" s="22"/>
      <c r="G158" s="20"/>
      <c r="H158" s="20"/>
      <c r="I158" s="20"/>
      <c r="J158" s="20"/>
      <c r="K158" s="20"/>
      <c r="L158" s="20"/>
      <c r="M158" s="20"/>
      <c r="N158" s="21"/>
    </row>
    <row r="159" spans="1:14" s="19" customFormat="1" ht="14.5" x14ac:dyDescent="0.25">
      <c r="A159" s="20"/>
      <c r="B159" s="20"/>
      <c r="C159" s="20"/>
      <c r="D159" s="20"/>
      <c r="E159" s="20"/>
      <c r="F159" s="22"/>
      <c r="G159" s="20"/>
      <c r="H159" s="20"/>
      <c r="I159" s="20"/>
      <c r="J159" s="20"/>
      <c r="K159" s="20"/>
      <c r="L159" s="20"/>
      <c r="M159" s="20"/>
      <c r="N159" s="21"/>
    </row>
    <row r="160" spans="1:14" s="19" customFormat="1" ht="14.5" x14ac:dyDescent="0.25">
      <c r="A160" s="20"/>
      <c r="B160" s="20"/>
      <c r="C160" s="20"/>
      <c r="D160" s="20"/>
      <c r="E160" s="20"/>
      <c r="F160" s="22"/>
      <c r="G160" s="20"/>
      <c r="H160" s="20"/>
      <c r="I160" s="20"/>
      <c r="J160" s="20"/>
      <c r="K160" s="20"/>
      <c r="L160" s="20"/>
      <c r="M160" s="20"/>
      <c r="N160" s="21"/>
    </row>
    <row r="161" spans="1:14" s="19" customFormat="1" ht="14.5" x14ac:dyDescent="0.25">
      <c r="A161" s="20"/>
      <c r="B161" s="20"/>
      <c r="C161" s="20"/>
      <c r="D161" s="20"/>
      <c r="E161" s="20"/>
      <c r="F161" s="22"/>
      <c r="G161" s="20"/>
      <c r="H161" s="20"/>
      <c r="I161" s="20"/>
      <c r="J161" s="20"/>
      <c r="K161" s="20"/>
      <c r="L161" s="20"/>
      <c r="M161" s="20"/>
      <c r="N161" s="21"/>
    </row>
    <row r="162" spans="1:14" s="19" customFormat="1" ht="14.5" x14ac:dyDescent="0.25">
      <c r="A162" s="20"/>
      <c r="B162" s="20"/>
      <c r="C162" s="20"/>
      <c r="D162" s="20"/>
      <c r="E162" s="20"/>
      <c r="F162" s="22"/>
      <c r="G162" s="20"/>
      <c r="H162" s="20"/>
      <c r="I162" s="20"/>
      <c r="J162" s="20"/>
      <c r="K162" s="20"/>
      <c r="L162" s="20"/>
      <c r="M162" s="20"/>
      <c r="N162" s="21"/>
    </row>
    <row r="163" spans="1:14" s="19" customFormat="1" ht="14.5" x14ac:dyDescent="0.25">
      <c r="A163" s="20"/>
      <c r="B163" s="20"/>
      <c r="C163" s="20"/>
      <c r="D163" s="20"/>
      <c r="E163" s="20"/>
      <c r="F163" s="22"/>
      <c r="G163" s="20"/>
      <c r="H163" s="20"/>
      <c r="I163" s="20"/>
      <c r="J163" s="20"/>
      <c r="K163" s="20"/>
      <c r="L163" s="20"/>
      <c r="M163" s="20"/>
      <c r="N163" s="21"/>
    </row>
    <row r="164" spans="1:14" s="19" customFormat="1" ht="14.5" x14ac:dyDescent="0.25">
      <c r="A164" s="20"/>
      <c r="B164" s="20"/>
      <c r="C164" s="20"/>
      <c r="D164" s="20"/>
      <c r="E164" s="20"/>
      <c r="F164" s="22"/>
      <c r="G164" s="20"/>
      <c r="H164" s="20"/>
      <c r="I164" s="20"/>
      <c r="J164" s="20"/>
      <c r="K164" s="20"/>
      <c r="L164" s="20"/>
      <c r="M164" s="20"/>
      <c r="N164" s="21"/>
    </row>
    <row r="165" spans="1:14" s="19" customFormat="1" ht="14.5" x14ac:dyDescent="0.25">
      <c r="A165" s="20"/>
      <c r="B165" s="20"/>
      <c r="C165" s="20"/>
      <c r="D165" s="20"/>
      <c r="E165" s="20"/>
      <c r="F165" s="22"/>
      <c r="G165" s="20"/>
      <c r="H165" s="20"/>
      <c r="I165" s="20"/>
      <c r="J165" s="20"/>
      <c r="K165" s="20"/>
      <c r="L165" s="20"/>
      <c r="M165" s="20"/>
      <c r="N165" s="21"/>
    </row>
    <row r="166" spans="1:14" s="19" customFormat="1" ht="14.5" x14ac:dyDescent="0.25">
      <c r="A166" s="20"/>
      <c r="B166" s="20"/>
      <c r="C166" s="20"/>
      <c r="D166" s="20"/>
      <c r="E166" s="20"/>
      <c r="F166" s="22"/>
      <c r="G166" s="20"/>
      <c r="H166" s="20"/>
      <c r="I166" s="20"/>
      <c r="J166" s="20"/>
      <c r="K166" s="20"/>
      <c r="L166" s="20"/>
      <c r="M166" s="20"/>
      <c r="N166" s="21"/>
    </row>
    <row r="167" spans="1:14" s="19" customFormat="1" ht="14.5" x14ac:dyDescent="0.25">
      <c r="A167" s="20"/>
      <c r="B167" s="20"/>
      <c r="C167" s="20"/>
      <c r="D167" s="20"/>
      <c r="E167" s="20"/>
      <c r="F167" s="22"/>
      <c r="G167" s="20"/>
      <c r="H167" s="20"/>
      <c r="I167" s="20"/>
      <c r="J167" s="20"/>
      <c r="K167" s="20"/>
      <c r="L167" s="20"/>
      <c r="M167" s="20"/>
      <c r="N167" s="21"/>
    </row>
    <row r="168" spans="1:14" s="19" customFormat="1" ht="14.5" x14ac:dyDescent="0.25">
      <c r="A168" s="20"/>
      <c r="B168" s="20"/>
      <c r="C168" s="20"/>
      <c r="D168" s="20"/>
      <c r="E168" s="20"/>
      <c r="F168" s="22"/>
      <c r="G168" s="20"/>
      <c r="H168" s="20"/>
      <c r="I168" s="20"/>
      <c r="J168" s="20"/>
      <c r="K168" s="20"/>
      <c r="L168" s="20"/>
      <c r="M168" s="20"/>
      <c r="N168" s="21"/>
    </row>
    <row r="169" spans="1:14" s="19" customFormat="1" ht="14.5" x14ac:dyDescent="0.25">
      <c r="A169" s="20"/>
      <c r="B169" s="20"/>
      <c r="C169" s="20"/>
      <c r="D169" s="20"/>
      <c r="E169" s="20"/>
      <c r="F169" s="22"/>
      <c r="G169" s="20"/>
      <c r="H169" s="20"/>
      <c r="I169" s="20"/>
      <c r="J169" s="20"/>
      <c r="K169" s="20"/>
      <c r="L169" s="20"/>
      <c r="M169" s="20"/>
      <c r="N169" s="21"/>
    </row>
    <row r="170" spans="1:14" s="19" customFormat="1" ht="14.5" x14ac:dyDescent="0.25">
      <c r="A170" s="20"/>
      <c r="B170" s="20"/>
      <c r="C170" s="20"/>
      <c r="D170" s="20"/>
      <c r="E170" s="20"/>
      <c r="F170" s="22"/>
      <c r="G170" s="20"/>
      <c r="H170" s="20"/>
      <c r="I170" s="20"/>
      <c r="J170" s="20"/>
      <c r="K170" s="20"/>
      <c r="L170" s="20"/>
      <c r="M170" s="20"/>
      <c r="N170" s="21"/>
    </row>
    <row r="171" spans="1:14" s="19" customFormat="1" ht="14.5" x14ac:dyDescent="0.25">
      <c r="A171" s="20"/>
      <c r="B171" s="20"/>
      <c r="C171" s="20"/>
      <c r="D171" s="20"/>
      <c r="E171" s="20"/>
      <c r="F171" s="22"/>
      <c r="G171" s="20"/>
      <c r="H171" s="20"/>
      <c r="I171" s="20"/>
      <c r="J171" s="20"/>
      <c r="K171" s="20"/>
      <c r="L171" s="20"/>
      <c r="M171" s="20"/>
      <c r="N171" s="21"/>
    </row>
    <row r="172" spans="1:14" s="19" customFormat="1" ht="14.5" x14ac:dyDescent="0.25">
      <c r="A172" s="20"/>
      <c r="B172" s="20"/>
      <c r="C172" s="20"/>
      <c r="D172" s="20"/>
      <c r="E172" s="20"/>
      <c r="F172" s="22"/>
      <c r="G172" s="20"/>
      <c r="H172" s="20"/>
      <c r="I172" s="20"/>
      <c r="J172" s="20"/>
      <c r="K172" s="20"/>
      <c r="L172" s="20"/>
      <c r="M172" s="20"/>
      <c r="N172" s="21"/>
    </row>
    <row r="173" spans="1:14" s="19" customFormat="1" ht="14.5" x14ac:dyDescent="0.25">
      <c r="A173" s="20"/>
      <c r="B173" s="20"/>
      <c r="C173" s="20"/>
      <c r="D173" s="20"/>
      <c r="E173" s="20"/>
      <c r="F173" s="22"/>
      <c r="G173" s="20"/>
      <c r="H173" s="20"/>
      <c r="I173" s="20"/>
      <c r="J173" s="20"/>
      <c r="K173" s="20"/>
      <c r="L173" s="20"/>
      <c r="M173" s="20"/>
      <c r="N173" s="21"/>
    </row>
    <row r="174" spans="1:14" s="19" customFormat="1" ht="14.5" x14ac:dyDescent="0.25">
      <c r="A174" s="20"/>
      <c r="B174" s="20"/>
      <c r="C174" s="20"/>
      <c r="D174" s="20"/>
      <c r="E174" s="20"/>
      <c r="F174" s="22"/>
      <c r="G174" s="20"/>
      <c r="H174" s="20"/>
      <c r="I174" s="20"/>
      <c r="J174" s="20"/>
      <c r="K174" s="20"/>
      <c r="L174" s="20"/>
      <c r="M174" s="20"/>
      <c r="N174" s="21"/>
    </row>
    <row r="175" spans="1:14" s="19" customFormat="1" ht="14.5" x14ac:dyDescent="0.25">
      <c r="A175" s="20"/>
      <c r="B175" s="20"/>
      <c r="C175" s="20"/>
      <c r="D175" s="20"/>
      <c r="E175" s="20"/>
      <c r="F175" s="22"/>
      <c r="G175" s="20"/>
      <c r="H175" s="20"/>
      <c r="I175" s="20"/>
      <c r="J175" s="20"/>
      <c r="K175" s="20"/>
      <c r="L175" s="20"/>
      <c r="M175" s="20"/>
      <c r="N175" s="21"/>
    </row>
    <row r="176" spans="1:14" s="19" customFormat="1" ht="14.5" x14ac:dyDescent="0.25">
      <c r="A176" s="20"/>
      <c r="B176" s="20"/>
      <c r="C176" s="20"/>
      <c r="D176" s="20"/>
      <c r="E176" s="20"/>
      <c r="F176" s="22"/>
      <c r="G176" s="20"/>
      <c r="H176" s="20"/>
      <c r="I176" s="20"/>
      <c r="J176" s="20"/>
      <c r="K176" s="20"/>
      <c r="L176" s="20"/>
      <c r="M176" s="20"/>
      <c r="N176" s="21"/>
    </row>
    <row r="177" spans="1:14" s="19" customFormat="1" ht="14.5" x14ac:dyDescent="0.25">
      <c r="A177" s="20"/>
      <c r="B177" s="20"/>
      <c r="C177" s="20"/>
      <c r="D177" s="20"/>
      <c r="E177" s="20"/>
      <c r="F177" s="22"/>
      <c r="G177" s="20"/>
      <c r="H177" s="20"/>
      <c r="I177" s="20"/>
      <c r="J177" s="20"/>
      <c r="K177" s="20"/>
      <c r="L177" s="20"/>
      <c r="M177" s="20"/>
      <c r="N177" s="21"/>
    </row>
    <row r="178" spans="1:14" s="19" customFormat="1" ht="14.5" x14ac:dyDescent="0.25">
      <c r="A178" s="20"/>
      <c r="B178" s="20"/>
      <c r="C178" s="20"/>
      <c r="D178" s="20"/>
      <c r="E178" s="20"/>
      <c r="F178" s="22"/>
      <c r="G178" s="20"/>
      <c r="H178" s="20"/>
      <c r="I178" s="20"/>
      <c r="J178" s="20"/>
      <c r="K178" s="20"/>
      <c r="L178" s="20"/>
      <c r="M178" s="20"/>
      <c r="N178" s="21"/>
    </row>
    <row r="179" spans="1:14" s="19" customFormat="1" ht="14.5" x14ac:dyDescent="0.25">
      <c r="A179" s="20"/>
      <c r="B179" s="20"/>
      <c r="C179" s="20"/>
      <c r="D179" s="20"/>
      <c r="E179" s="20"/>
      <c r="F179" s="22"/>
      <c r="G179" s="20"/>
      <c r="H179" s="20"/>
      <c r="I179" s="20"/>
      <c r="J179" s="20"/>
      <c r="K179" s="20"/>
      <c r="L179" s="20"/>
      <c r="M179" s="20"/>
      <c r="N179" s="21"/>
    </row>
    <row r="180" spans="1:14" s="19" customFormat="1" ht="14.5" x14ac:dyDescent="0.25">
      <c r="A180" s="20"/>
      <c r="B180" s="20"/>
      <c r="C180" s="20"/>
      <c r="D180" s="20"/>
      <c r="E180" s="20"/>
      <c r="F180" s="22"/>
      <c r="G180" s="20"/>
      <c r="H180" s="20"/>
      <c r="I180" s="20"/>
      <c r="J180" s="20"/>
      <c r="K180" s="20"/>
      <c r="L180" s="20"/>
      <c r="M180" s="20"/>
      <c r="N180" s="21"/>
    </row>
    <row r="181" spans="1:14" s="19" customFormat="1" ht="14.5" x14ac:dyDescent="0.25">
      <c r="A181" s="20"/>
      <c r="B181" s="20"/>
      <c r="C181" s="20"/>
      <c r="D181" s="20"/>
      <c r="E181" s="20"/>
      <c r="F181" s="22"/>
      <c r="G181" s="20"/>
      <c r="H181" s="20"/>
      <c r="I181" s="20"/>
      <c r="J181" s="20"/>
      <c r="K181" s="20"/>
      <c r="L181" s="20"/>
      <c r="M181" s="20"/>
      <c r="N181" s="21"/>
    </row>
    <row r="182" spans="1:14" s="19" customFormat="1" ht="14.5" x14ac:dyDescent="0.25">
      <c r="A182" s="20"/>
      <c r="B182" s="20"/>
      <c r="C182" s="20"/>
      <c r="D182" s="20"/>
      <c r="E182" s="20"/>
      <c r="F182" s="22"/>
      <c r="G182" s="20"/>
      <c r="H182" s="20"/>
      <c r="I182" s="20"/>
      <c r="J182" s="20"/>
      <c r="K182" s="20"/>
      <c r="L182" s="20"/>
      <c r="M182" s="20"/>
      <c r="N182" s="21"/>
    </row>
    <row r="183" spans="1:14" s="19" customFormat="1" ht="14.5" x14ac:dyDescent="0.25">
      <c r="A183" s="20"/>
      <c r="B183" s="20"/>
      <c r="C183" s="20"/>
      <c r="D183" s="20"/>
      <c r="E183" s="20"/>
      <c r="F183" s="22"/>
      <c r="G183" s="20"/>
      <c r="H183" s="20"/>
      <c r="I183" s="20"/>
      <c r="J183" s="20"/>
      <c r="K183" s="20"/>
      <c r="L183" s="20"/>
      <c r="M183" s="20"/>
      <c r="N183" s="21"/>
    </row>
    <row r="184" spans="1:14" s="19" customFormat="1" ht="14.5" x14ac:dyDescent="0.25">
      <c r="A184" s="20"/>
      <c r="B184" s="20"/>
      <c r="C184" s="20"/>
      <c r="D184" s="20"/>
      <c r="E184" s="20"/>
      <c r="F184" s="22"/>
      <c r="G184" s="20"/>
      <c r="H184" s="20"/>
      <c r="I184" s="20"/>
      <c r="J184" s="20"/>
      <c r="K184" s="20"/>
      <c r="L184" s="20"/>
      <c r="M184" s="20"/>
      <c r="N184" s="21"/>
    </row>
    <row r="185" spans="1:14" s="19" customFormat="1" ht="14.5" x14ac:dyDescent="0.25">
      <c r="A185" s="20"/>
      <c r="B185" s="20"/>
      <c r="C185" s="20"/>
      <c r="D185" s="20"/>
      <c r="E185" s="20"/>
      <c r="F185" s="22"/>
      <c r="G185" s="20"/>
      <c r="H185" s="20"/>
      <c r="I185" s="20"/>
      <c r="J185" s="20"/>
      <c r="K185" s="20"/>
      <c r="L185" s="20"/>
      <c r="M185" s="20"/>
      <c r="N185" s="21"/>
    </row>
    <row r="186" spans="1:14" s="19" customFormat="1" ht="14.5" x14ac:dyDescent="0.25">
      <c r="A186" s="20"/>
      <c r="B186" s="20"/>
      <c r="C186" s="20"/>
      <c r="D186" s="20"/>
      <c r="E186" s="20"/>
      <c r="F186" s="22"/>
      <c r="G186" s="20"/>
      <c r="H186" s="20"/>
      <c r="I186" s="20"/>
      <c r="J186" s="20"/>
      <c r="K186" s="20"/>
      <c r="L186" s="20"/>
      <c r="M186" s="20"/>
      <c r="N186" s="21"/>
    </row>
    <row r="187" spans="1:14" s="19" customFormat="1" ht="14.5" x14ac:dyDescent="0.25">
      <c r="A187" s="20"/>
      <c r="B187" s="20"/>
      <c r="C187" s="20"/>
      <c r="D187" s="20"/>
      <c r="E187" s="20"/>
      <c r="F187" s="22"/>
      <c r="G187" s="20"/>
      <c r="H187" s="20"/>
      <c r="I187" s="20"/>
      <c r="J187" s="20"/>
      <c r="K187" s="20"/>
      <c r="L187" s="20"/>
      <c r="M187" s="20"/>
      <c r="N187" s="21"/>
    </row>
    <row r="188" spans="1:14" s="19" customFormat="1" ht="14.5" x14ac:dyDescent="0.25">
      <c r="A188" s="20"/>
      <c r="B188" s="20"/>
      <c r="C188" s="20"/>
      <c r="D188" s="20"/>
      <c r="E188" s="20"/>
      <c r="F188" s="22"/>
      <c r="G188" s="20"/>
      <c r="H188" s="20"/>
      <c r="I188" s="20"/>
      <c r="J188" s="20"/>
      <c r="K188" s="20"/>
      <c r="L188" s="20"/>
      <c r="M188" s="20"/>
      <c r="N188" s="21"/>
    </row>
    <row r="189" spans="1:14" s="19" customFormat="1" ht="14.5" x14ac:dyDescent="0.25">
      <c r="A189" s="20"/>
      <c r="B189" s="20"/>
      <c r="C189" s="20"/>
      <c r="D189" s="20"/>
      <c r="E189" s="20"/>
      <c r="F189" s="22"/>
      <c r="G189" s="20"/>
      <c r="H189" s="20"/>
      <c r="I189" s="20"/>
      <c r="J189" s="20"/>
      <c r="K189" s="20"/>
      <c r="L189" s="20"/>
      <c r="M189" s="20"/>
      <c r="N189" s="21"/>
    </row>
    <row r="190" spans="1:14" s="19" customFormat="1" ht="14.5" x14ac:dyDescent="0.25">
      <c r="A190" s="20"/>
      <c r="B190" s="20"/>
      <c r="C190" s="20"/>
      <c r="D190" s="20"/>
      <c r="E190" s="20"/>
      <c r="F190" s="22"/>
      <c r="G190" s="20"/>
      <c r="H190" s="20"/>
      <c r="I190" s="20"/>
      <c r="J190" s="20"/>
      <c r="K190" s="20"/>
      <c r="L190" s="20"/>
      <c r="M190" s="20"/>
      <c r="N190" s="21"/>
    </row>
  </sheetData>
  <mergeCells count="1">
    <mergeCell ref="A2:O2"/>
  </mergeCells>
  <phoneticPr fontId="3" type="noConversion"/>
  <pageMargins left="0.7" right="0.7" top="0.75" bottom="0.75" header="0.3" footer="0.3"/>
  <pageSetup orientation="portrait"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5EA05-9E6E-402B-BFE8-A422E7FB73A3}">
  <sheetPr codeName="Sheet7">
    <tabColor theme="6" tint="0.39997558519241921"/>
  </sheetPr>
  <dimension ref="A1:DU702"/>
  <sheetViews>
    <sheetView zoomScale="60" zoomScaleNormal="60" workbookViewId="0">
      <selection activeCell="I6" sqref="I6"/>
    </sheetView>
  </sheetViews>
  <sheetFormatPr defaultColWidth="8.81640625" defaultRowHeight="12.5" x14ac:dyDescent="0.25"/>
  <cols>
    <col min="1" max="1" width="5" bestFit="1" customWidth="1"/>
    <col min="2" max="2" width="42.81640625" customWidth="1"/>
    <col min="3" max="3" width="42.453125" customWidth="1"/>
    <col min="4" max="4" width="62.1796875" customWidth="1"/>
    <col min="5" max="5" width="53.1796875" customWidth="1"/>
    <col min="6" max="6" width="34.453125" customWidth="1"/>
    <col min="7" max="7" width="21.453125" customWidth="1"/>
    <col min="8" max="8" width="9.1796875" style="17" customWidth="1"/>
    <col min="9" max="9" width="6.1796875" style="17" customWidth="1"/>
    <col min="10" max="10" width="6.453125" style="17" customWidth="1"/>
    <col min="11" max="11" width="41.81640625" style="17" customWidth="1"/>
    <col min="12" max="51" width="9.1796875" style="17" customWidth="1"/>
    <col min="52" max="125" width="8.81640625" style="17"/>
  </cols>
  <sheetData>
    <row r="1" spans="1:125" s="8" customFormat="1" ht="20" x14ac:dyDescent="0.25">
      <c r="A1" s="205"/>
      <c r="B1" s="205"/>
      <c r="C1" s="205"/>
      <c r="D1" s="205"/>
      <c r="E1" s="205"/>
      <c r="F1" s="205"/>
      <c r="G1" s="205"/>
      <c r="H1" s="17"/>
      <c r="I1" s="17"/>
      <c r="J1" s="17"/>
      <c r="K1" s="17"/>
      <c r="L1" s="17"/>
      <c r="M1" s="17"/>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row>
    <row r="2" spans="1:125" s="8" customFormat="1" ht="18.5" x14ac:dyDescent="0.3">
      <c r="A2" s="204" t="s">
        <v>221</v>
      </c>
      <c r="B2" s="204"/>
      <c r="C2" s="204"/>
      <c r="D2" s="204"/>
      <c r="E2" s="204"/>
      <c r="F2" s="204"/>
      <c r="G2" s="204"/>
      <c r="H2" s="17"/>
      <c r="I2" s="18"/>
      <c r="J2" s="18"/>
      <c r="K2" s="18"/>
      <c r="L2" s="17"/>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row>
    <row r="3" spans="1:125" s="8" customFormat="1" ht="21.5" thickBot="1" x14ac:dyDescent="0.35">
      <c r="A3" s="206" t="s">
        <v>222</v>
      </c>
      <c r="B3" s="207"/>
      <c r="C3" s="207"/>
      <c r="D3" s="207"/>
      <c r="E3" s="207"/>
      <c r="F3" s="207"/>
      <c r="G3" s="207"/>
      <c r="H3" s="17"/>
      <c r="I3" s="18"/>
      <c r="J3" s="18"/>
      <c r="K3" s="18"/>
      <c r="L3" s="17"/>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row>
    <row r="4" spans="1:125" ht="21.5" thickBot="1" x14ac:dyDescent="0.35">
      <c r="A4" s="69" t="s">
        <v>223</v>
      </c>
      <c r="B4" s="70" t="s">
        <v>224</v>
      </c>
      <c r="C4" s="70" t="s">
        <v>225</v>
      </c>
      <c r="D4" s="70" t="s">
        <v>226</v>
      </c>
      <c r="E4" s="70" t="s">
        <v>227</v>
      </c>
      <c r="F4" s="70" t="s">
        <v>228</v>
      </c>
      <c r="G4" s="71" t="s">
        <v>229</v>
      </c>
      <c r="I4" s="18"/>
      <c r="J4" s="18"/>
      <c r="K4" s="18"/>
    </row>
    <row r="5" spans="1:125" s="17" customFormat="1" ht="105" x14ac:dyDescent="0.25">
      <c r="A5" s="72">
        <v>1</v>
      </c>
      <c r="B5" s="73" t="s">
        <v>230</v>
      </c>
      <c r="C5" s="73" t="s">
        <v>231</v>
      </c>
      <c r="D5" s="74" t="s">
        <v>232</v>
      </c>
      <c r="E5" s="74" t="s">
        <v>233</v>
      </c>
      <c r="F5" s="74" t="s">
        <v>234</v>
      </c>
      <c r="G5" s="74" t="s">
        <v>235</v>
      </c>
    </row>
    <row r="6" spans="1:125" s="17" customFormat="1" ht="168" x14ac:dyDescent="0.25">
      <c r="A6" s="72">
        <v>2</v>
      </c>
      <c r="B6" s="73" t="s">
        <v>236</v>
      </c>
      <c r="C6" s="73" t="s">
        <v>231</v>
      </c>
      <c r="D6" s="74" t="s">
        <v>237</v>
      </c>
      <c r="E6" s="74" t="s">
        <v>238</v>
      </c>
      <c r="F6" s="74" t="s">
        <v>239</v>
      </c>
      <c r="G6" s="74" t="s">
        <v>236</v>
      </c>
    </row>
    <row r="7" spans="1:125" s="17" customFormat="1" ht="168" x14ac:dyDescent="0.25">
      <c r="A7" s="72">
        <v>4</v>
      </c>
      <c r="B7" s="73" t="s">
        <v>29</v>
      </c>
      <c r="C7" s="73" t="s">
        <v>231</v>
      </c>
      <c r="D7" s="74" t="s">
        <v>240</v>
      </c>
      <c r="E7" s="74" t="s">
        <v>241</v>
      </c>
      <c r="F7" s="74" t="s">
        <v>242</v>
      </c>
      <c r="G7" s="74" t="s">
        <v>235</v>
      </c>
    </row>
    <row r="8" spans="1:125" s="17" customFormat="1" ht="168" x14ac:dyDescent="0.25">
      <c r="A8" s="72">
        <v>5</v>
      </c>
      <c r="B8" s="73" t="s">
        <v>243</v>
      </c>
      <c r="C8" s="73" t="s">
        <v>231</v>
      </c>
      <c r="D8" s="74" t="s">
        <v>244</v>
      </c>
      <c r="E8" s="74" t="s">
        <v>245</v>
      </c>
      <c r="F8" s="74" t="s">
        <v>239</v>
      </c>
      <c r="G8" s="74" t="s">
        <v>246</v>
      </c>
    </row>
    <row r="9" spans="1:125" s="17" customFormat="1" x14ac:dyDescent="0.25"/>
    <row r="10" spans="1:125" s="17" customFormat="1" x14ac:dyDescent="0.25"/>
    <row r="11" spans="1:125" s="17" customFormat="1" x14ac:dyDescent="0.25"/>
    <row r="12" spans="1:125" s="17" customFormat="1" x14ac:dyDescent="0.25"/>
    <row r="13" spans="1:125" s="17" customFormat="1" x14ac:dyDescent="0.25"/>
    <row r="14" spans="1:125" s="17" customFormat="1" x14ac:dyDescent="0.25"/>
    <row r="15" spans="1:125" s="17" customFormat="1" x14ac:dyDescent="0.25"/>
    <row r="16" spans="1:125" s="17" customFormat="1" x14ac:dyDescent="0.25"/>
    <row r="17" s="17" customFormat="1" x14ac:dyDescent="0.25"/>
    <row r="18" s="17" customFormat="1" x14ac:dyDescent="0.25"/>
    <row r="19" s="17" customFormat="1" x14ac:dyDescent="0.25"/>
    <row r="20" s="17" customFormat="1" x14ac:dyDescent="0.25"/>
    <row r="21" s="17" customFormat="1" x14ac:dyDescent="0.25"/>
    <row r="22" s="17" customFormat="1" x14ac:dyDescent="0.25"/>
    <row r="23" s="17" customFormat="1" x14ac:dyDescent="0.25"/>
    <row r="24" s="17" customFormat="1" x14ac:dyDescent="0.25"/>
    <row r="25" s="17" customFormat="1" x14ac:dyDescent="0.25"/>
    <row r="26" s="17" customFormat="1" x14ac:dyDescent="0.25"/>
    <row r="27" s="17" customFormat="1" x14ac:dyDescent="0.25"/>
    <row r="28" s="17" customFormat="1" x14ac:dyDescent="0.25"/>
    <row r="29" s="17" customFormat="1" x14ac:dyDescent="0.25"/>
    <row r="30" s="17" customFormat="1" x14ac:dyDescent="0.25"/>
    <row r="31" s="17" customFormat="1" x14ac:dyDescent="0.25"/>
    <row r="32" s="17" customFormat="1" x14ac:dyDescent="0.25"/>
    <row r="33" s="17" customFormat="1" x14ac:dyDescent="0.25"/>
    <row r="34" s="17" customFormat="1" x14ac:dyDescent="0.25"/>
    <row r="35" s="17" customFormat="1" x14ac:dyDescent="0.25"/>
    <row r="36" s="17" customFormat="1" x14ac:dyDescent="0.25"/>
    <row r="37" s="17" customFormat="1" x14ac:dyDescent="0.25"/>
    <row r="38" s="17" customFormat="1" x14ac:dyDescent="0.25"/>
    <row r="39" s="17" customFormat="1" x14ac:dyDescent="0.25"/>
    <row r="40" s="17" customFormat="1" x14ac:dyDescent="0.25"/>
    <row r="41" s="17" customFormat="1" x14ac:dyDescent="0.25"/>
    <row r="42" s="17" customFormat="1" x14ac:dyDescent="0.25"/>
    <row r="43" s="17" customFormat="1" x14ac:dyDescent="0.25"/>
    <row r="44" s="17" customFormat="1" x14ac:dyDescent="0.25"/>
    <row r="45" s="17" customFormat="1" x14ac:dyDescent="0.25"/>
    <row r="46" s="17" customFormat="1" x14ac:dyDescent="0.25"/>
    <row r="47" s="17" customFormat="1" x14ac:dyDescent="0.25"/>
    <row r="48" s="17" customFormat="1" x14ac:dyDescent="0.25"/>
    <row r="49" s="17" customFormat="1" x14ac:dyDescent="0.25"/>
    <row r="50" s="17" customFormat="1" x14ac:dyDescent="0.25"/>
    <row r="51" s="17" customFormat="1" x14ac:dyDescent="0.25"/>
    <row r="52" s="17" customFormat="1" x14ac:dyDescent="0.25"/>
    <row r="53" s="17" customFormat="1" x14ac:dyDescent="0.25"/>
    <row r="54" s="17" customFormat="1" x14ac:dyDescent="0.25"/>
    <row r="55" s="17" customFormat="1" x14ac:dyDescent="0.25"/>
    <row r="56" s="17" customFormat="1" x14ac:dyDescent="0.25"/>
    <row r="57" s="17" customFormat="1" x14ac:dyDescent="0.25"/>
    <row r="58" s="17" customFormat="1" x14ac:dyDescent="0.25"/>
    <row r="59" s="17" customFormat="1" x14ac:dyDescent="0.25"/>
    <row r="60" s="17" customFormat="1" x14ac:dyDescent="0.25"/>
    <row r="61" s="17" customFormat="1" x14ac:dyDescent="0.25"/>
    <row r="62" s="17" customFormat="1" x14ac:dyDescent="0.25"/>
    <row r="63" s="17" customFormat="1" x14ac:dyDescent="0.25"/>
    <row r="64" s="17" customFormat="1" x14ac:dyDescent="0.25"/>
    <row r="65" s="17" customFormat="1" x14ac:dyDescent="0.25"/>
    <row r="66" s="17" customFormat="1" x14ac:dyDescent="0.25"/>
    <row r="67" s="17" customFormat="1" x14ac:dyDescent="0.25"/>
    <row r="68" s="17" customFormat="1" x14ac:dyDescent="0.25"/>
    <row r="69" s="17" customFormat="1" x14ac:dyDescent="0.25"/>
    <row r="70" s="17" customFormat="1" x14ac:dyDescent="0.25"/>
    <row r="71" s="17" customFormat="1" x14ac:dyDescent="0.25"/>
    <row r="72" s="17" customFormat="1" x14ac:dyDescent="0.25"/>
    <row r="73" s="17" customFormat="1" x14ac:dyDescent="0.25"/>
    <row r="74" s="17" customFormat="1" x14ac:dyDescent="0.25"/>
    <row r="75" s="17" customFormat="1" x14ac:dyDescent="0.25"/>
    <row r="76" s="17" customFormat="1" x14ac:dyDescent="0.25"/>
    <row r="77" s="17" customFormat="1" x14ac:dyDescent="0.25"/>
    <row r="78" s="17" customFormat="1" x14ac:dyDescent="0.25"/>
    <row r="79" s="17" customFormat="1" x14ac:dyDescent="0.25"/>
    <row r="80" s="17" customFormat="1" x14ac:dyDescent="0.25"/>
    <row r="81" s="17" customFormat="1" x14ac:dyDescent="0.25"/>
    <row r="82" s="17" customFormat="1" x14ac:dyDescent="0.25"/>
    <row r="83" s="17" customFormat="1" x14ac:dyDescent="0.25"/>
    <row r="84" s="17" customFormat="1" x14ac:dyDescent="0.25"/>
    <row r="85" s="17" customFormat="1" x14ac:dyDescent="0.25"/>
    <row r="86" s="17" customFormat="1" x14ac:dyDescent="0.25"/>
    <row r="87" s="17" customFormat="1" x14ac:dyDescent="0.25"/>
    <row r="88" s="17" customFormat="1" x14ac:dyDescent="0.25"/>
    <row r="89" s="17" customFormat="1" x14ac:dyDescent="0.25"/>
    <row r="90" s="17" customFormat="1" x14ac:dyDescent="0.25"/>
    <row r="91" s="17" customFormat="1" x14ac:dyDescent="0.25"/>
    <row r="92" s="17" customFormat="1" x14ac:dyDescent="0.25"/>
    <row r="93" s="17" customFormat="1" x14ac:dyDescent="0.25"/>
    <row r="94" s="17" customFormat="1" x14ac:dyDescent="0.25"/>
    <row r="95" s="17" customFormat="1" x14ac:dyDescent="0.25"/>
    <row r="96" s="17" customFormat="1" x14ac:dyDescent="0.25"/>
    <row r="97" s="17" customFormat="1" x14ac:dyDescent="0.25"/>
    <row r="98" s="17" customFormat="1" x14ac:dyDescent="0.25"/>
    <row r="99" s="17" customFormat="1" x14ac:dyDescent="0.25"/>
    <row r="100" s="17" customFormat="1" x14ac:dyDescent="0.25"/>
    <row r="101" s="17" customFormat="1" x14ac:dyDescent="0.25"/>
    <row r="102" s="17" customFormat="1" x14ac:dyDescent="0.25"/>
    <row r="103" s="17" customFormat="1" x14ac:dyDescent="0.25"/>
    <row r="104" s="17" customFormat="1" x14ac:dyDescent="0.25"/>
    <row r="105" s="17" customFormat="1" x14ac:dyDescent="0.25"/>
    <row r="106" s="17" customFormat="1" x14ac:dyDescent="0.25"/>
    <row r="107" s="17" customFormat="1" x14ac:dyDescent="0.25"/>
    <row r="108" s="17" customFormat="1" x14ac:dyDescent="0.25"/>
    <row r="109" s="17" customFormat="1" x14ac:dyDescent="0.25"/>
    <row r="110" s="17" customFormat="1" x14ac:dyDescent="0.25"/>
    <row r="111" s="17" customFormat="1" x14ac:dyDescent="0.25"/>
    <row r="112" s="17" customFormat="1" x14ac:dyDescent="0.25"/>
    <row r="113" s="17" customFormat="1" x14ac:dyDescent="0.25"/>
    <row r="114" s="17" customFormat="1" x14ac:dyDescent="0.25"/>
    <row r="115" s="17" customFormat="1" x14ac:dyDescent="0.25"/>
    <row r="116" s="17" customFormat="1" x14ac:dyDescent="0.25"/>
    <row r="117" s="17" customFormat="1" x14ac:dyDescent="0.25"/>
    <row r="118" s="17" customFormat="1" x14ac:dyDescent="0.25"/>
    <row r="119" s="17" customFormat="1" x14ac:dyDescent="0.25"/>
    <row r="120" s="17" customFormat="1" x14ac:dyDescent="0.25"/>
    <row r="121" s="17" customFormat="1" x14ac:dyDescent="0.25"/>
    <row r="122" s="17" customFormat="1" x14ac:dyDescent="0.25"/>
    <row r="123" s="17" customFormat="1" x14ac:dyDescent="0.25"/>
    <row r="124" s="17" customFormat="1" x14ac:dyDescent="0.25"/>
    <row r="125" s="17" customFormat="1" x14ac:dyDescent="0.25"/>
    <row r="126" s="17" customFormat="1" x14ac:dyDescent="0.25"/>
    <row r="127" s="17" customFormat="1" x14ac:dyDescent="0.25"/>
    <row r="128" s="17" customFormat="1" x14ac:dyDescent="0.25"/>
    <row r="129" s="17" customFormat="1" x14ac:dyDescent="0.25"/>
    <row r="130" s="17" customFormat="1" x14ac:dyDescent="0.25"/>
    <row r="131" s="17" customFormat="1" x14ac:dyDescent="0.25"/>
    <row r="132" s="17" customFormat="1" x14ac:dyDescent="0.25"/>
    <row r="133" s="17" customFormat="1" x14ac:dyDescent="0.25"/>
    <row r="134" s="17" customFormat="1" x14ac:dyDescent="0.25"/>
    <row r="135" s="17" customFormat="1" x14ac:dyDescent="0.25"/>
    <row r="136" s="17" customFormat="1" x14ac:dyDescent="0.25"/>
    <row r="137" s="17" customFormat="1" x14ac:dyDescent="0.25"/>
    <row r="138" s="17" customFormat="1" x14ac:dyDescent="0.25"/>
    <row r="139" s="17" customFormat="1" x14ac:dyDescent="0.25"/>
    <row r="140" s="17" customFormat="1" x14ac:dyDescent="0.25"/>
    <row r="141" s="17" customFormat="1" x14ac:dyDescent="0.25"/>
    <row r="142" s="17" customFormat="1" x14ac:dyDescent="0.25"/>
    <row r="143" s="17" customFormat="1" x14ac:dyDescent="0.25"/>
    <row r="144" s="17" customFormat="1" x14ac:dyDescent="0.25"/>
    <row r="145" s="17" customFormat="1" x14ac:dyDescent="0.25"/>
    <row r="146" s="17" customFormat="1" x14ac:dyDescent="0.25"/>
    <row r="147" s="17" customFormat="1" x14ac:dyDescent="0.25"/>
    <row r="148" s="17" customFormat="1" x14ac:dyDescent="0.25"/>
    <row r="149" s="17" customFormat="1" x14ac:dyDescent="0.25"/>
    <row r="150" s="17" customFormat="1" x14ac:dyDescent="0.25"/>
    <row r="151" s="17" customFormat="1" x14ac:dyDescent="0.25"/>
    <row r="152" s="17" customFormat="1" x14ac:dyDescent="0.25"/>
    <row r="153" s="17" customFormat="1" x14ac:dyDescent="0.25"/>
    <row r="154" s="17" customFormat="1" x14ac:dyDescent="0.25"/>
    <row r="155" s="17" customFormat="1" x14ac:dyDescent="0.25"/>
    <row r="156" s="17" customFormat="1" x14ac:dyDescent="0.25"/>
    <row r="157" s="17" customFormat="1" x14ac:dyDescent="0.25"/>
    <row r="158" s="17" customFormat="1" x14ac:dyDescent="0.25"/>
    <row r="159" s="17" customFormat="1" x14ac:dyDescent="0.25"/>
    <row r="160" s="17" customFormat="1" x14ac:dyDescent="0.25"/>
    <row r="161" s="17" customFormat="1" x14ac:dyDescent="0.25"/>
    <row r="162" s="17" customFormat="1" x14ac:dyDescent="0.25"/>
    <row r="163" s="17" customFormat="1" x14ac:dyDescent="0.25"/>
    <row r="164" s="17" customFormat="1" x14ac:dyDescent="0.25"/>
    <row r="165" s="17" customFormat="1" x14ac:dyDescent="0.25"/>
    <row r="166" s="17" customFormat="1" x14ac:dyDescent="0.25"/>
    <row r="167" s="17" customFormat="1" x14ac:dyDescent="0.25"/>
    <row r="168" s="17" customFormat="1" x14ac:dyDescent="0.25"/>
    <row r="169" s="17" customFormat="1" x14ac:dyDescent="0.25"/>
    <row r="170" s="17" customFormat="1" x14ac:dyDescent="0.25"/>
    <row r="171" s="17" customFormat="1" x14ac:dyDescent="0.25"/>
    <row r="172" s="17" customFormat="1" x14ac:dyDescent="0.25"/>
    <row r="173" s="17" customFormat="1" x14ac:dyDescent="0.25"/>
    <row r="174" s="17" customFormat="1" x14ac:dyDescent="0.25"/>
    <row r="175" s="17" customFormat="1" x14ac:dyDescent="0.25"/>
    <row r="176" s="17" customFormat="1" x14ac:dyDescent="0.25"/>
    <row r="177" s="17" customFormat="1" x14ac:dyDescent="0.25"/>
    <row r="178" s="17" customFormat="1" x14ac:dyDescent="0.25"/>
    <row r="179" s="17" customFormat="1" x14ac:dyDescent="0.25"/>
    <row r="180" s="17" customFormat="1" x14ac:dyDescent="0.25"/>
    <row r="181" s="17" customFormat="1" x14ac:dyDescent="0.25"/>
    <row r="182" s="17" customFormat="1" x14ac:dyDescent="0.25"/>
    <row r="183" s="17" customFormat="1" x14ac:dyDescent="0.25"/>
    <row r="184" s="17" customFormat="1" x14ac:dyDescent="0.25"/>
    <row r="185" s="17" customFormat="1" x14ac:dyDescent="0.25"/>
    <row r="186" s="17" customFormat="1" x14ac:dyDescent="0.25"/>
    <row r="187" s="17" customFormat="1" x14ac:dyDescent="0.25"/>
    <row r="188" s="17" customFormat="1" x14ac:dyDescent="0.25"/>
    <row r="189" s="17" customFormat="1" x14ac:dyDescent="0.25"/>
    <row r="190" s="17" customFormat="1" x14ac:dyDescent="0.25"/>
    <row r="191" s="17" customFormat="1" x14ac:dyDescent="0.25"/>
    <row r="192" s="17" customFormat="1" x14ac:dyDescent="0.25"/>
    <row r="193" s="17" customFormat="1" x14ac:dyDescent="0.25"/>
    <row r="194" s="17" customFormat="1" x14ac:dyDescent="0.25"/>
    <row r="195" s="17" customFormat="1" x14ac:dyDescent="0.25"/>
    <row r="196" s="17" customFormat="1" x14ac:dyDescent="0.25"/>
    <row r="197" s="17" customFormat="1" x14ac:dyDescent="0.25"/>
    <row r="198" s="17" customFormat="1" x14ac:dyDescent="0.25"/>
    <row r="199" s="17" customFormat="1" x14ac:dyDescent="0.25"/>
    <row r="200" s="17" customFormat="1" x14ac:dyDescent="0.25"/>
    <row r="201" s="17" customFormat="1" x14ac:dyDescent="0.25"/>
    <row r="202" s="17" customFormat="1" x14ac:dyDescent="0.25"/>
    <row r="203" s="17" customFormat="1" x14ac:dyDescent="0.25"/>
    <row r="204" s="17" customFormat="1" x14ac:dyDescent="0.25"/>
    <row r="205" s="17" customFormat="1" x14ac:dyDescent="0.25"/>
    <row r="206" s="17" customFormat="1" x14ac:dyDescent="0.25"/>
    <row r="207" s="17" customFormat="1" x14ac:dyDescent="0.25"/>
    <row r="208" s="17" customFormat="1" x14ac:dyDescent="0.25"/>
    <row r="209" s="17" customFormat="1" x14ac:dyDescent="0.25"/>
    <row r="210" s="17" customFormat="1" x14ac:dyDescent="0.25"/>
    <row r="211" s="17" customFormat="1" x14ac:dyDescent="0.25"/>
    <row r="212" s="17" customFormat="1" x14ac:dyDescent="0.25"/>
    <row r="213" s="17" customFormat="1" x14ac:dyDescent="0.25"/>
    <row r="214" s="17" customFormat="1" x14ac:dyDescent="0.25"/>
    <row r="215" s="17" customFormat="1" x14ac:dyDescent="0.25"/>
    <row r="216" s="17" customFormat="1" x14ac:dyDescent="0.25"/>
    <row r="217" s="17" customFormat="1" x14ac:dyDescent="0.25"/>
    <row r="218" s="17" customFormat="1" x14ac:dyDescent="0.25"/>
    <row r="219" s="17" customFormat="1" x14ac:dyDescent="0.25"/>
    <row r="220" s="17" customFormat="1" x14ac:dyDescent="0.25"/>
    <row r="221" s="17" customFormat="1" x14ac:dyDescent="0.25"/>
    <row r="222" s="17" customFormat="1" x14ac:dyDescent="0.25"/>
    <row r="223" s="17" customFormat="1" x14ac:dyDescent="0.25"/>
    <row r="224" s="17" customFormat="1" x14ac:dyDescent="0.25"/>
    <row r="225" s="17" customFormat="1" x14ac:dyDescent="0.25"/>
    <row r="226" s="17" customFormat="1" x14ac:dyDescent="0.25"/>
    <row r="227" s="17" customFormat="1" x14ac:dyDescent="0.25"/>
    <row r="228" s="17" customFormat="1" x14ac:dyDescent="0.25"/>
    <row r="229" s="17" customFormat="1" x14ac:dyDescent="0.25"/>
    <row r="230" s="17" customFormat="1" x14ac:dyDescent="0.25"/>
    <row r="231" s="17" customFormat="1" x14ac:dyDescent="0.25"/>
    <row r="232" s="17" customFormat="1" x14ac:dyDescent="0.25"/>
    <row r="233" s="17" customFormat="1" x14ac:dyDescent="0.25"/>
    <row r="234" s="17" customFormat="1" x14ac:dyDescent="0.25"/>
    <row r="235" s="17" customFormat="1" x14ac:dyDescent="0.25"/>
    <row r="236" s="17" customFormat="1" x14ac:dyDescent="0.25"/>
    <row r="237" s="17" customFormat="1" x14ac:dyDescent="0.25"/>
    <row r="238" s="17" customFormat="1" x14ac:dyDescent="0.25"/>
    <row r="239" s="17" customFormat="1" x14ac:dyDescent="0.25"/>
    <row r="240" s="17" customFormat="1" x14ac:dyDescent="0.25"/>
    <row r="241" s="17" customFormat="1" x14ac:dyDescent="0.25"/>
    <row r="242" s="17" customFormat="1" x14ac:dyDescent="0.25"/>
    <row r="243" s="17" customFormat="1" x14ac:dyDescent="0.25"/>
    <row r="244" s="17" customFormat="1" x14ac:dyDescent="0.25"/>
    <row r="245" s="17" customFormat="1" x14ac:dyDescent="0.25"/>
    <row r="246" s="17" customFormat="1" x14ac:dyDescent="0.25"/>
    <row r="247" s="17" customFormat="1" x14ac:dyDescent="0.25"/>
    <row r="248" s="17" customFormat="1" x14ac:dyDescent="0.25"/>
    <row r="249" s="17" customFormat="1" x14ac:dyDescent="0.25"/>
    <row r="250" s="17" customFormat="1" x14ac:dyDescent="0.25"/>
    <row r="251" s="17" customFormat="1" x14ac:dyDescent="0.25"/>
    <row r="252" s="17" customFormat="1" x14ac:dyDescent="0.25"/>
    <row r="253" s="17" customFormat="1" x14ac:dyDescent="0.25"/>
    <row r="254" s="17" customFormat="1" x14ac:dyDescent="0.25"/>
    <row r="255" s="17" customFormat="1" x14ac:dyDescent="0.25"/>
    <row r="256" s="17" customFormat="1" x14ac:dyDescent="0.25"/>
    <row r="257" s="17" customFormat="1" x14ac:dyDescent="0.25"/>
    <row r="258" s="17" customFormat="1" x14ac:dyDescent="0.25"/>
    <row r="259" s="17" customFormat="1" x14ac:dyDescent="0.25"/>
    <row r="260" s="17" customFormat="1" x14ac:dyDescent="0.25"/>
    <row r="261" s="17" customFormat="1" x14ac:dyDescent="0.25"/>
    <row r="262" s="17" customFormat="1" x14ac:dyDescent="0.25"/>
    <row r="263" s="17" customFormat="1" x14ac:dyDescent="0.25"/>
    <row r="264" s="17" customFormat="1" x14ac:dyDescent="0.25"/>
    <row r="265" s="17" customFormat="1" x14ac:dyDescent="0.25"/>
    <row r="266" s="17" customFormat="1" x14ac:dyDescent="0.25"/>
    <row r="267" s="17" customFormat="1" x14ac:dyDescent="0.25"/>
    <row r="268" s="17" customFormat="1" x14ac:dyDescent="0.25"/>
    <row r="269" s="17" customFormat="1" x14ac:dyDescent="0.25"/>
    <row r="270" s="17" customFormat="1" x14ac:dyDescent="0.25"/>
    <row r="271" s="17" customFormat="1" x14ac:dyDescent="0.25"/>
    <row r="272" s="17" customFormat="1" x14ac:dyDescent="0.25"/>
    <row r="273" s="17" customFormat="1" x14ac:dyDescent="0.25"/>
    <row r="274" s="17" customFormat="1" x14ac:dyDescent="0.25"/>
    <row r="275" s="17" customFormat="1" x14ac:dyDescent="0.25"/>
    <row r="276" s="17" customFormat="1" x14ac:dyDescent="0.25"/>
    <row r="277" s="17" customFormat="1" x14ac:dyDescent="0.25"/>
    <row r="278" s="17" customFormat="1" x14ac:dyDescent="0.25"/>
    <row r="279" s="17" customFormat="1" x14ac:dyDescent="0.25"/>
    <row r="280" s="17" customFormat="1" x14ac:dyDescent="0.25"/>
    <row r="281" s="17" customFormat="1" x14ac:dyDescent="0.25"/>
    <row r="282" s="17" customFormat="1" x14ac:dyDescent="0.25"/>
    <row r="283" s="17" customFormat="1" x14ac:dyDescent="0.25"/>
    <row r="284" s="17" customFormat="1" x14ac:dyDescent="0.25"/>
    <row r="285" s="17" customFormat="1" x14ac:dyDescent="0.25"/>
    <row r="286" s="17" customFormat="1" x14ac:dyDescent="0.25"/>
    <row r="287" s="17" customFormat="1" x14ac:dyDescent="0.25"/>
    <row r="288" s="17" customFormat="1" x14ac:dyDescent="0.25"/>
    <row r="289" s="17" customFormat="1" x14ac:dyDescent="0.25"/>
    <row r="290" s="17" customFormat="1" x14ac:dyDescent="0.25"/>
    <row r="291" s="17" customFormat="1" x14ac:dyDescent="0.25"/>
    <row r="292" s="17" customFormat="1" x14ac:dyDescent="0.25"/>
    <row r="293" s="17" customFormat="1" x14ac:dyDescent="0.25"/>
    <row r="294" s="17" customFormat="1" x14ac:dyDescent="0.25"/>
    <row r="295" s="17" customFormat="1" x14ac:dyDescent="0.25"/>
    <row r="296" s="17" customFormat="1" x14ac:dyDescent="0.25"/>
    <row r="297" s="17" customFormat="1" x14ac:dyDescent="0.25"/>
    <row r="298" s="17" customFormat="1" x14ac:dyDescent="0.25"/>
    <row r="299" s="17" customFormat="1" x14ac:dyDescent="0.25"/>
    <row r="300" s="17" customFormat="1" x14ac:dyDescent="0.25"/>
    <row r="301" s="17" customFormat="1" x14ac:dyDescent="0.25"/>
    <row r="302" s="17" customFormat="1" x14ac:dyDescent="0.25"/>
    <row r="303" s="17" customFormat="1" x14ac:dyDescent="0.25"/>
    <row r="304" s="17" customFormat="1" x14ac:dyDescent="0.25"/>
    <row r="305" s="17" customFormat="1" x14ac:dyDescent="0.25"/>
    <row r="306" s="17" customFormat="1" x14ac:dyDescent="0.25"/>
    <row r="307" s="17" customFormat="1" x14ac:dyDescent="0.25"/>
    <row r="308" s="17" customFormat="1" x14ac:dyDescent="0.25"/>
    <row r="309" s="17" customFormat="1" x14ac:dyDescent="0.25"/>
    <row r="310" s="17" customFormat="1" x14ac:dyDescent="0.25"/>
    <row r="311" s="17" customFormat="1" x14ac:dyDescent="0.25"/>
    <row r="312" s="17" customFormat="1" x14ac:dyDescent="0.25"/>
    <row r="313" s="17" customFormat="1" x14ac:dyDescent="0.25"/>
    <row r="314" s="17" customFormat="1" x14ac:dyDescent="0.25"/>
    <row r="315" s="17" customFormat="1" x14ac:dyDescent="0.25"/>
    <row r="316" s="17" customFormat="1" x14ac:dyDescent="0.25"/>
    <row r="317" s="17" customFormat="1" x14ac:dyDescent="0.25"/>
    <row r="318" s="17" customFormat="1" x14ac:dyDescent="0.25"/>
    <row r="319" s="17" customFormat="1" x14ac:dyDescent="0.25"/>
    <row r="320" s="17" customFormat="1" x14ac:dyDescent="0.25"/>
    <row r="321" s="17" customFormat="1" x14ac:dyDescent="0.25"/>
    <row r="322" s="17" customFormat="1" x14ac:dyDescent="0.25"/>
    <row r="323" s="17" customFormat="1" x14ac:dyDescent="0.25"/>
    <row r="324" s="17" customFormat="1" x14ac:dyDescent="0.25"/>
    <row r="325" s="17" customFormat="1" x14ac:dyDescent="0.25"/>
    <row r="326" s="17" customFormat="1" x14ac:dyDescent="0.25"/>
    <row r="327" s="17" customFormat="1" x14ac:dyDescent="0.25"/>
    <row r="328" s="17" customFormat="1" x14ac:dyDescent="0.25"/>
    <row r="329" s="17" customFormat="1" x14ac:dyDescent="0.25"/>
    <row r="330" s="17" customFormat="1" x14ac:dyDescent="0.25"/>
    <row r="331" s="17" customFormat="1" x14ac:dyDescent="0.25"/>
    <row r="332" s="17" customFormat="1" x14ac:dyDescent="0.25"/>
    <row r="333" s="17" customFormat="1" x14ac:dyDescent="0.25"/>
    <row r="334" s="17" customFormat="1" x14ac:dyDescent="0.25"/>
    <row r="335" s="17" customFormat="1" x14ac:dyDescent="0.25"/>
    <row r="336" s="17" customFormat="1" x14ac:dyDescent="0.25"/>
    <row r="337" s="17" customFormat="1" x14ac:dyDescent="0.25"/>
    <row r="338" s="17" customFormat="1" x14ac:dyDescent="0.25"/>
    <row r="339" s="17" customFormat="1" x14ac:dyDescent="0.25"/>
    <row r="340" s="17" customFormat="1" x14ac:dyDescent="0.25"/>
    <row r="341" s="17" customFormat="1" x14ac:dyDescent="0.25"/>
    <row r="342" s="17" customFormat="1" x14ac:dyDescent="0.25"/>
    <row r="343" s="17" customFormat="1" x14ac:dyDescent="0.25"/>
    <row r="344" s="17" customFormat="1" x14ac:dyDescent="0.25"/>
    <row r="345" s="17" customFormat="1" x14ac:dyDescent="0.25"/>
    <row r="346" s="17" customFormat="1" x14ac:dyDescent="0.25"/>
    <row r="347" s="17" customFormat="1" x14ac:dyDescent="0.25"/>
    <row r="348" s="17" customFormat="1" x14ac:dyDescent="0.25"/>
    <row r="349" s="17" customFormat="1" x14ac:dyDescent="0.25"/>
    <row r="350" s="17" customFormat="1" x14ac:dyDescent="0.25"/>
    <row r="351" s="17" customFormat="1" x14ac:dyDescent="0.25"/>
    <row r="352" s="17" customFormat="1" x14ac:dyDescent="0.25"/>
    <row r="353" s="17" customFormat="1" x14ac:dyDescent="0.25"/>
    <row r="354" s="17" customFormat="1" x14ac:dyDescent="0.25"/>
    <row r="355" s="17" customFormat="1" x14ac:dyDescent="0.25"/>
    <row r="356" s="17" customFormat="1" x14ac:dyDescent="0.25"/>
    <row r="357" s="17" customFormat="1" x14ac:dyDescent="0.25"/>
    <row r="358" s="17" customFormat="1" x14ac:dyDescent="0.25"/>
    <row r="359" s="17" customFormat="1" x14ac:dyDescent="0.25"/>
    <row r="360" s="17" customFormat="1" x14ac:dyDescent="0.25"/>
    <row r="361" s="17" customFormat="1" x14ac:dyDescent="0.25"/>
    <row r="362" s="17" customFormat="1" x14ac:dyDescent="0.25"/>
    <row r="363" s="17" customFormat="1" x14ac:dyDescent="0.25"/>
    <row r="364" s="17" customFormat="1" x14ac:dyDescent="0.25"/>
    <row r="365" s="17" customFormat="1" x14ac:dyDescent="0.25"/>
    <row r="366" s="17" customFormat="1" x14ac:dyDescent="0.25"/>
    <row r="367" s="17" customFormat="1" x14ac:dyDescent="0.25"/>
    <row r="368" s="17" customFormat="1" x14ac:dyDescent="0.25"/>
    <row r="369" s="17" customFormat="1" x14ac:dyDescent="0.25"/>
    <row r="370" s="17" customFormat="1" x14ac:dyDescent="0.25"/>
    <row r="371" s="17" customFormat="1" x14ac:dyDescent="0.25"/>
    <row r="372" s="17" customFormat="1" x14ac:dyDescent="0.25"/>
    <row r="373" s="17" customFormat="1" x14ac:dyDescent="0.25"/>
    <row r="374" s="17" customFormat="1" x14ac:dyDescent="0.25"/>
    <row r="375" s="17" customFormat="1" x14ac:dyDescent="0.25"/>
    <row r="376" s="17" customFormat="1" x14ac:dyDescent="0.25"/>
    <row r="377" s="17" customFormat="1" x14ac:dyDescent="0.25"/>
    <row r="378" s="17" customFormat="1" x14ac:dyDescent="0.25"/>
    <row r="379" s="17" customFormat="1" x14ac:dyDescent="0.25"/>
    <row r="380" s="17" customFormat="1" x14ac:dyDescent="0.25"/>
    <row r="381" s="17" customFormat="1" x14ac:dyDescent="0.25"/>
    <row r="382" s="17" customFormat="1" x14ac:dyDescent="0.25"/>
    <row r="383" s="17" customFormat="1" x14ac:dyDescent="0.25"/>
    <row r="384" s="17" customFormat="1" x14ac:dyDescent="0.25"/>
    <row r="385" s="17" customFormat="1" x14ac:dyDescent="0.25"/>
    <row r="386" s="17" customFormat="1" x14ac:dyDescent="0.25"/>
    <row r="387" s="17" customFormat="1" x14ac:dyDescent="0.25"/>
    <row r="388" s="17" customFormat="1" x14ac:dyDescent="0.25"/>
    <row r="389" s="17" customFormat="1" x14ac:dyDescent="0.25"/>
    <row r="390" s="17" customFormat="1" x14ac:dyDescent="0.25"/>
    <row r="391" s="17" customFormat="1" x14ac:dyDescent="0.25"/>
    <row r="392" s="17" customFormat="1" x14ac:dyDescent="0.25"/>
    <row r="393" s="17" customFormat="1" x14ac:dyDescent="0.25"/>
    <row r="394" s="17" customFormat="1" x14ac:dyDescent="0.25"/>
    <row r="395" s="17" customFormat="1" x14ac:dyDescent="0.25"/>
    <row r="396" s="17" customFormat="1" x14ac:dyDescent="0.25"/>
    <row r="397" s="17" customFormat="1" x14ac:dyDescent="0.25"/>
    <row r="398" s="17" customFormat="1" x14ac:dyDescent="0.25"/>
    <row r="399" s="17" customFormat="1" x14ac:dyDescent="0.25"/>
    <row r="400" s="17" customFormat="1" x14ac:dyDescent="0.25"/>
    <row r="401" s="17" customFormat="1" x14ac:dyDescent="0.25"/>
    <row r="402" s="17" customFormat="1" x14ac:dyDescent="0.25"/>
    <row r="403" s="17" customFormat="1" x14ac:dyDescent="0.25"/>
    <row r="404" s="17" customFormat="1" x14ac:dyDescent="0.25"/>
    <row r="405" s="17" customFormat="1" x14ac:dyDescent="0.25"/>
    <row r="406" s="17" customFormat="1" x14ac:dyDescent="0.25"/>
    <row r="407" s="17" customFormat="1" x14ac:dyDescent="0.25"/>
    <row r="408" s="17" customFormat="1" x14ac:dyDescent="0.25"/>
    <row r="409" s="17" customFormat="1" x14ac:dyDescent="0.25"/>
    <row r="410" s="17" customFormat="1" x14ac:dyDescent="0.25"/>
    <row r="411" s="17" customFormat="1" x14ac:dyDescent="0.25"/>
    <row r="412" s="17" customFormat="1" x14ac:dyDescent="0.25"/>
    <row r="413" s="17" customFormat="1" x14ac:dyDescent="0.25"/>
    <row r="414" s="17" customFormat="1" x14ac:dyDescent="0.25"/>
    <row r="415" s="17" customFormat="1" x14ac:dyDescent="0.25"/>
    <row r="416" s="17" customFormat="1" x14ac:dyDescent="0.25"/>
    <row r="417" s="17" customFormat="1" x14ac:dyDescent="0.25"/>
    <row r="418" s="17" customFormat="1" x14ac:dyDescent="0.25"/>
    <row r="419" s="17" customFormat="1" x14ac:dyDescent="0.25"/>
    <row r="420" s="17" customFormat="1" x14ac:dyDescent="0.25"/>
    <row r="421" s="17" customFormat="1" x14ac:dyDescent="0.25"/>
    <row r="422" s="17" customFormat="1" x14ac:dyDescent="0.25"/>
    <row r="423" s="17" customFormat="1" x14ac:dyDescent="0.25"/>
    <row r="424" s="17" customFormat="1" x14ac:dyDescent="0.25"/>
    <row r="425" s="17" customFormat="1" x14ac:dyDescent="0.25"/>
    <row r="426" s="17" customFormat="1" x14ac:dyDescent="0.25"/>
    <row r="427" s="17" customFormat="1" x14ac:dyDescent="0.25"/>
    <row r="428" s="17" customFormat="1" x14ac:dyDescent="0.25"/>
    <row r="429" s="17" customFormat="1" x14ac:dyDescent="0.25"/>
    <row r="430" s="17" customFormat="1" x14ac:dyDescent="0.25"/>
    <row r="431" s="17" customFormat="1" x14ac:dyDescent="0.25"/>
    <row r="432" s="17" customFormat="1" x14ac:dyDescent="0.25"/>
    <row r="433" s="17" customFormat="1" x14ac:dyDescent="0.25"/>
    <row r="434" s="17" customFormat="1" x14ac:dyDescent="0.25"/>
    <row r="435" s="17" customFormat="1" x14ac:dyDescent="0.25"/>
    <row r="436" s="17" customFormat="1" x14ac:dyDescent="0.25"/>
    <row r="437" s="17" customFormat="1" x14ac:dyDescent="0.25"/>
    <row r="438" s="17" customFormat="1" x14ac:dyDescent="0.25"/>
    <row r="439" s="17" customFormat="1" x14ac:dyDescent="0.25"/>
    <row r="440" s="17" customFormat="1" x14ac:dyDescent="0.25"/>
    <row r="441" s="17" customFormat="1" x14ac:dyDescent="0.25"/>
    <row r="442" s="17" customFormat="1" x14ac:dyDescent="0.25"/>
    <row r="443" s="17" customFormat="1" x14ac:dyDescent="0.25"/>
    <row r="444" s="17" customFormat="1" x14ac:dyDescent="0.25"/>
    <row r="445" s="17" customFormat="1" x14ac:dyDescent="0.25"/>
    <row r="446" s="17" customFormat="1" x14ac:dyDescent="0.25"/>
    <row r="447" s="17" customFormat="1" x14ac:dyDescent="0.25"/>
    <row r="448" s="17" customFormat="1" x14ac:dyDescent="0.25"/>
    <row r="449" s="17" customFormat="1" x14ac:dyDescent="0.25"/>
    <row r="450" s="17" customFormat="1" x14ac:dyDescent="0.25"/>
    <row r="451" s="17" customFormat="1" x14ac:dyDescent="0.25"/>
    <row r="452" s="17" customFormat="1" x14ac:dyDescent="0.25"/>
    <row r="453" s="17" customFormat="1" x14ac:dyDescent="0.25"/>
    <row r="454" s="17" customFormat="1" x14ac:dyDescent="0.25"/>
    <row r="455" s="17" customFormat="1" x14ac:dyDescent="0.25"/>
    <row r="456" s="17" customFormat="1" x14ac:dyDescent="0.25"/>
    <row r="457" s="17" customFormat="1" x14ac:dyDescent="0.25"/>
    <row r="458" s="17" customFormat="1" x14ac:dyDescent="0.25"/>
    <row r="459" s="17" customFormat="1" x14ac:dyDescent="0.25"/>
    <row r="460" s="17" customFormat="1" x14ac:dyDescent="0.25"/>
    <row r="461" s="17" customFormat="1" x14ac:dyDescent="0.25"/>
    <row r="462" s="17" customFormat="1" x14ac:dyDescent="0.25"/>
    <row r="463" s="17" customFormat="1" x14ac:dyDescent="0.25"/>
    <row r="464" s="17" customFormat="1" x14ac:dyDescent="0.25"/>
    <row r="465" s="17" customFormat="1" x14ac:dyDescent="0.25"/>
    <row r="466" s="17" customFormat="1" x14ac:dyDescent="0.25"/>
    <row r="467" s="17" customFormat="1" x14ac:dyDescent="0.25"/>
    <row r="468" s="17" customFormat="1" x14ac:dyDescent="0.25"/>
    <row r="469" s="17" customFormat="1" x14ac:dyDescent="0.25"/>
    <row r="470" s="17" customFormat="1" x14ac:dyDescent="0.25"/>
    <row r="471" s="17" customFormat="1" x14ac:dyDescent="0.25"/>
    <row r="472" s="17" customFormat="1" x14ac:dyDescent="0.25"/>
    <row r="473" s="17" customFormat="1" x14ac:dyDescent="0.25"/>
    <row r="474" s="17" customFormat="1" x14ac:dyDescent="0.25"/>
    <row r="475" s="17" customFormat="1" x14ac:dyDescent="0.25"/>
    <row r="476" s="17" customFormat="1" x14ac:dyDescent="0.25"/>
    <row r="477" s="17" customFormat="1" x14ac:dyDescent="0.25"/>
    <row r="478" s="17" customFormat="1" x14ac:dyDescent="0.25"/>
    <row r="479" s="17" customFormat="1" x14ac:dyDescent="0.25"/>
    <row r="480" s="17" customFormat="1" x14ac:dyDescent="0.25"/>
    <row r="481" s="17" customFormat="1" x14ac:dyDescent="0.25"/>
    <row r="482" s="17" customFormat="1" x14ac:dyDescent="0.25"/>
    <row r="483" s="17" customFormat="1" x14ac:dyDescent="0.25"/>
    <row r="484" s="17" customFormat="1" x14ac:dyDescent="0.25"/>
    <row r="485" s="17" customFormat="1" x14ac:dyDescent="0.25"/>
    <row r="486" s="17" customFormat="1" x14ac:dyDescent="0.25"/>
    <row r="487" s="17" customFormat="1" x14ac:dyDescent="0.25"/>
    <row r="488" s="17" customFormat="1" x14ac:dyDescent="0.25"/>
    <row r="489" s="17" customFormat="1" x14ac:dyDescent="0.25"/>
    <row r="490" s="17" customFormat="1" x14ac:dyDescent="0.25"/>
    <row r="491" s="17" customFormat="1" x14ac:dyDescent="0.25"/>
    <row r="492" s="17" customFormat="1" x14ac:dyDescent="0.25"/>
    <row r="493" s="17" customFormat="1" x14ac:dyDescent="0.25"/>
    <row r="494" s="17" customFormat="1" x14ac:dyDescent="0.25"/>
    <row r="495" s="17" customFormat="1" x14ac:dyDescent="0.25"/>
    <row r="496" s="17" customFormat="1" x14ac:dyDescent="0.25"/>
    <row r="497" s="17" customFormat="1" x14ac:dyDescent="0.25"/>
    <row r="498" s="17" customFormat="1" x14ac:dyDescent="0.25"/>
    <row r="499" s="17" customFormat="1" x14ac:dyDescent="0.25"/>
    <row r="500" s="17" customFormat="1" x14ac:dyDescent="0.25"/>
    <row r="501" s="17" customFormat="1" x14ac:dyDescent="0.25"/>
    <row r="502" s="17" customFormat="1" x14ac:dyDescent="0.25"/>
    <row r="503" s="17" customFormat="1" x14ac:dyDescent="0.25"/>
    <row r="504" s="17" customFormat="1" x14ac:dyDescent="0.25"/>
    <row r="505" s="17" customFormat="1" x14ac:dyDescent="0.25"/>
    <row r="506" s="17" customFormat="1" x14ac:dyDescent="0.25"/>
    <row r="507" s="17" customFormat="1" x14ac:dyDescent="0.25"/>
    <row r="508" s="17" customFormat="1" x14ac:dyDescent="0.25"/>
    <row r="509" s="17" customFormat="1" x14ac:dyDescent="0.25"/>
    <row r="510" s="17" customFormat="1" x14ac:dyDescent="0.25"/>
    <row r="511" s="17" customFormat="1" x14ac:dyDescent="0.25"/>
    <row r="512" s="17" customFormat="1" x14ac:dyDescent="0.25"/>
    <row r="513" s="17" customFormat="1" x14ac:dyDescent="0.25"/>
    <row r="514" s="17" customFormat="1" x14ac:dyDescent="0.25"/>
    <row r="515" s="17" customFormat="1" x14ac:dyDescent="0.25"/>
    <row r="516" s="17" customFormat="1" x14ac:dyDescent="0.25"/>
    <row r="517" s="17" customFormat="1" x14ac:dyDescent="0.25"/>
    <row r="518" s="17" customFormat="1" x14ac:dyDescent="0.25"/>
    <row r="519" s="17" customFormat="1" x14ac:dyDescent="0.25"/>
    <row r="520" s="17" customFormat="1" x14ac:dyDescent="0.25"/>
    <row r="521" s="17" customFormat="1" x14ac:dyDescent="0.25"/>
    <row r="522" s="17" customFormat="1" x14ac:dyDescent="0.25"/>
    <row r="523" s="17" customFormat="1" x14ac:dyDescent="0.25"/>
    <row r="524" s="17" customFormat="1" x14ac:dyDescent="0.25"/>
    <row r="525" s="17" customFormat="1" x14ac:dyDescent="0.25"/>
    <row r="526" s="17" customFormat="1" x14ac:dyDescent="0.25"/>
    <row r="527" s="17" customFormat="1" x14ac:dyDescent="0.25"/>
    <row r="528" s="17" customFormat="1" x14ac:dyDescent="0.25"/>
    <row r="529" s="17" customFormat="1" x14ac:dyDescent="0.25"/>
    <row r="530" s="17" customFormat="1" x14ac:dyDescent="0.25"/>
    <row r="531" s="17" customFormat="1" x14ac:dyDescent="0.25"/>
    <row r="532" s="17" customFormat="1" x14ac:dyDescent="0.25"/>
    <row r="533" s="17" customFormat="1" x14ac:dyDescent="0.25"/>
    <row r="534" s="17" customFormat="1" x14ac:dyDescent="0.25"/>
    <row r="535" s="17" customFormat="1" x14ac:dyDescent="0.25"/>
    <row r="536" s="17" customFormat="1" x14ac:dyDescent="0.25"/>
    <row r="537" s="17" customFormat="1" x14ac:dyDescent="0.25"/>
    <row r="538" s="17" customFormat="1" x14ac:dyDescent="0.25"/>
    <row r="539" s="17" customFormat="1" x14ac:dyDescent="0.25"/>
    <row r="540" s="17" customFormat="1" x14ac:dyDescent="0.25"/>
    <row r="541" s="17" customFormat="1" x14ac:dyDescent="0.25"/>
    <row r="542" s="17" customFormat="1" x14ac:dyDescent="0.25"/>
    <row r="543" s="17" customFormat="1" x14ac:dyDescent="0.25"/>
    <row r="544" s="17" customFormat="1" x14ac:dyDescent="0.25"/>
    <row r="545" s="17" customFormat="1" x14ac:dyDescent="0.25"/>
    <row r="546" s="17" customFormat="1" x14ac:dyDescent="0.25"/>
    <row r="547" s="17" customFormat="1" x14ac:dyDescent="0.25"/>
    <row r="548" s="17" customFormat="1" x14ac:dyDescent="0.25"/>
    <row r="549" s="17" customFormat="1" x14ac:dyDescent="0.25"/>
    <row r="550" s="17" customFormat="1" x14ac:dyDescent="0.25"/>
    <row r="551" s="17" customFormat="1" x14ac:dyDescent="0.25"/>
    <row r="552" s="17" customFormat="1" x14ac:dyDescent="0.25"/>
    <row r="553" s="17" customFormat="1" x14ac:dyDescent="0.25"/>
    <row r="554" s="17" customFormat="1" x14ac:dyDescent="0.25"/>
    <row r="555" s="17" customFormat="1" x14ac:dyDescent="0.25"/>
    <row r="556" s="17" customFormat="1" x14ac:dyDescent="0.25"/>
    <row r="557" s="17" customFormat="1" x14ac:dyDescent="0.25"/>
    <row r="558" s="17" customFormat="1" x14ac:dyDescent="0.25"/>
    <row r="559" s="17" customFormat="1" x14ac:dyDescent="0.25"/>
    <row r="560" s="17" customFormat="1" x14ac:dyDescent="0.25"/>
    <row r="561" s="17" customFormat="1" x14ac:dyDescent="0.25"/>
    <row r="562" s="17" customFormat="1" x14ac:dyDescent="0.25"/>
    <row r="563" s="17" customFormat="1" x14ac:dyDescent="0.25"/>
    <row r="564" s="17" customFormat="1" x14ac:dyDescent="0.25"/>
    <row r="565" s="17" customFormat="1" x14ac:dyDescent="0.25"/>
    <row r="566" s="17" customFormat="1" x14ac:dyDescent="0.25"/>
    <row r="567" s="17" customFormat="1" x14ac:dyDescent="0.25"/>
    <row r="568" s="17" customFormat="1" x14ac:dyDescent="0.25"/>
    <row r="569" s="17" customFormat="1" x14ac:dyDescent="0.25"/>
    <row r="570" s="17" customFormat="1" x14ac:dyDescent="0.25"/>
    <row r="571" s="17" customFormat="1" x14ac:dyDescent="0.25"/>
    <row r="572" s="17" customFormat="1" x14ac:dyDescent="0.25"/>
    <row r="573" s="17" customFormat="1" x14ac:dyDescent="0.25"/>
    <row r="574" s="17" customFormat="1" x14ac:dyDescent="0.25"/>
    <row r="575" s="17" customFormat="1" x14ac:dyDescent="0.25"/>
    <row r="576" s="17" customFormat="1" x14ac:dyDescent="0.25"/>
    <row r="577" s="17" customFormat="1" x14ac:dyDescent="0.25"/>
    <row r="578" s="17" customFormat="1" x14ac:dyDescent="0.25"/>
    <row r="579" s="17" customFormat="1" x14ac:dyDescent="0.25"/>
    <row r="580" s="17" customFormat="1" x14ac:dyDescent="0.25"/>
    <row r="581" s="17" customFormat="1" x14ac:dyDescent="0.25"/>
    <row r="582" s="17" customFormat="1" x14ac:dyDescent="0.25"/>
    <row r="583" s="17" customFormat="1" x14ac:dyDescent="0.25"/>
    <row r="584" s="17" customFormat="1" x14ac:dyDescent="0.25"/>
    <row r="585" s="17" customFormat="1" x14ac:dyDescent="0.25"/>
    <row r="586" s="17" customFormat="1" x14ac:dyDescent="0.25"/>
    <row r="587" s="17" customFormat="1" x14ac:dyDescent="0.25"/>
    <row r="588" s="17" customFormat="1" x14ac:dyDescent="0.25"/>
    <row r="589" s="17" customFormat="1" x14ac:dyDescent="0.25"/>
    <row r="590" s="17" customFormat="1" x14ac:dyDescent="0.25"/>
    <row r="591" s="17" customFormat="1" x14ac:dyDescent="0.25"/>
    <row r="592" s="17" customFormat="1" x14ac:dyDescent="0.25"/>
    <row r="593" s="17" customFormat="1" x14ac:dyDescent="0.25"/>
    <row r="594" s="17" customFormat="1" x14ac:dyDescent="0.25"/>
    <row r="595" s="17" customFormat="1" x14ac:dyDescent="0.25"/>
    <row r="596" s="17" customFormat="1" x14ac:dyDescent="0.25"/>
    <row r="597" s="17" customFormat="1" x14ac:dyDescent="0.25"/>
    <row r="598" s="17" customFormat="1" x14ac:dyDescent="0.25"/>
    <row r="599" s="17" customFormat="1" x14ac:dyDescent="0.25"/>
    <row r="600" s="17" customFormat="1" x14ac:dyDescent="0.25"/>
    <row r="601" s="17" customFormat="1" x14ac:dyDescent="0.25"/>
    <row r="602" s="17" customFormat="1" x14ac:dyDescent="0.25"/>
    <row r="603" s="17" customFormat="1" x14ac:dyDescent="0.25"/>
    <row r="604" s="17" customFormat="1" x14ac:dyDescent="0.25"/>
    <row r="605" s="17" customFormat="1" x14ac:dyDescent="0.25"/>
    <row r="606" s="17" customFormat="1" x14ac:dyDescent="0.25"/>
    <row r="607" s="17" customFormat="1" x14ac:dyDescent="0.25"/>
    <row r="608" s="17" customFormat="1" x14ac:dyDescent="0.25"/>
    <row r="609" s="17" customFormat="1" x14ac:dyDescent="0.25"/>
    <row r="610" s="17" customFormat="1" x14ac:dyDescent="0.25"/>
    <row r="611" s="17" customFormat="1" x14ac:dyDescent="0.25"/>
    <row r="612" s="17" customFormat="1" x14ac:dyDescent="0.25"/>
    <row r="613" s="17" customFormat="1" x14ac:dyDescent="0.25"/>
    <row r="614" s="17" customFormat="1" x14ac:dyDescent="0.25"/>
    <row r="615" s="17" customFormat="1" x14ac:dyDescent="0.25"/>
    <row r="616" s="17" customFormat="1" x14ac:dyDescent="0.25"/>
    <row r="617" s="17" customFormat="1" x14ac:dyDescent="0.25"/>
    <row r="618" s="17" customFormat="1" x14ac:dyDescent="0.25"/>
    <row r="619" s="17" customFormat="1" x14ac:dyDescent="0.25"/>
    <row r="620" s="17" customFormat="1" x14ac:dyDescent="0.25"/>
    <row r="621" s="17" customFormat="1" x14ac:dyDescent="0.25"/>
    <row r="622" s="17" customFormat="1" x14ac:dyDescent="0.25"/>
    <row r="623" s="17" customFormat="1" x14ac:dyDescent="0.25"/>
    <row r="624" s="17" customFormat="1" x14ac:dyDescent="0.25"/>
    <row r="625" s="17" customFormat="1" x14ac:dyDescent="0.25"/>
    <row r="626" s="17" customFormat="1" x14ac:dyDescent="0.25"/>
    <row r="627" s="17" customFormat="1" x14ac:dyDescent="0.25"/>
    <row r="628" s="17" customFormat="1" x14ac:dyDescent="0.25"/>
    <row r="629" s="17" customFormat="1" x14ac:dyDescent="0.25"/>
    <row r="630" s="17" customFormat="1" x14ac:dyDescent="0.25"/>
    <row r="631" s="17" customFormat="1" x14ac:dyDescent="0.25"/>
    <row r="632" s="17" customFormat="1" x14ac:dyDescent="0.25"/>
    <row r="633" s="17" customFormat="1" x14ac:dyDescent="0.25"/>
    <row r="634" s="17" customFormat="1" x14ac:dyDescent="0.25"/>
    <row r="635" s="17" customFormat="1" x14ac:dyDescent="0.25"/>
    <row r="636" s="17" customFormat="1" x14ac:dyDescent="0.25"/>
    <row r="637" s="17" customFormat="1" x14ac:dyDescent="0.25"/>
    <row r="638" s="17" customFormat="1" x14ac:dyDescent="0.25"/>
    <row r="639" s="17" customFormat="1" x14ac:dyDescent="0.25"/>
    <row r="640" s="17" customFormat="1" x14ac:dyDescent="0.25"/>
    <row r="641" s="17" customFormat="1" x14ac:dyDescent="0.25"/>
    <row r="642" s="17" customFormat="1" x14ac:dyDescent="0.25"/>
    <row r="643" s="17" customFormat="1" x14ac:dyDescent="0.25"/>
    <row r="644" s="17" customFormat="1" x14ac:dyDescent="0.25"/>
    <row r="645" s="17" customFormat="1" x14ac:dyDescent="0.25"/>
    <row r="646" s="17" customFormat="1" x14ac:dyDescent="0.25"/>
    <row r="647" s="17" customFormat="1" x14ac:dyDescent="0.25"/>
    <row r="648" s="17" customFormat="1" x14ac:dyDescent="0.25"/>
    <row r="649" s="17" customFormat="1" x14ac:dyDescent="0.25"/>
    <row r="650" s="17" customFormat="1" x14ac:dyDescent="0.25"/>
    <row r="651" s="17" customFormat="1" x14ac:dyDescent="0.25"/>
    <row r="652" s="17" customFormat="1" x14ac:dyDescent="0.25"/>
    <row r="653" s="17" customFormat="1" x14ac:dyDescent="0.25"/>
    <row r="654" s="17" customFormat="1" x14ac:dyDescent="0.25"/>
    <row r="655" s="17" customFormat="1" x14ac:dyDescent="0.25"/>
    <row r="656" s="17" customFormat="1" x14ac:dyDescent="0.25"/>
    <row r="657" s="17" customFormat="1" x14ac:dyDescent="0.25"/>
    <row r="658" s="17" customFormat="1" x14ac:dyDescent="0.25"/>
    <row r="659" s="17" customFormat="1" x14ac:dyDescent="0.25"/>
    <row r="660" s="17" customFormat="1" x14ac:dyDescent="0.25"/>
    <row r="661" s="17" customFormat="1" x14ac:dyDescent="0.25"/>
    <row r="662" s="17" customFormat="1" x14ac:dyDescent="0.25"/>
    <row r="663" s="17" customFormat="1" x14ac:dyDescent="0.25"/>
    <row r="664" s="17" customFormat="1" x14ac:dyDescent="0.25"/>
    <row r="665" s="17" customFormat="1" x14ac:dyDescent="0.25"/>
    <row r="666" s="17" customFormat="1" x14ac:dyDescent="0.25"/>
    <row r="667" s="17" customFormat="1" x14ac:dyDescent="0.25"/>
    <row r="668" s="17" customFormat="1" x14ac:dyDescent="0.25"/>
    <row r="669" s="17" customFormat="1" x14ac:dyDescent="0.25"/>
    <row r="670" s="17" customFormat="1" x14ac:dyDescent="0.25"/>
    <row r="671" s="17" customFormat="1" x14ac:dyDescent="0.25"/>
    <row r="672" s="17" customFormat="1" x14ac:dyDescent="0.25"/>
    <row r="673" s="17" customFormat="1" x14ac:dyDescent="0.25"/>
    <row r="674" s="17" customFormat="1" x14ac:dyDescent="0.25"/>
    <row r="675" s="17" customFormat="1" x14ac:dyDescent="0.25"/>
    <row r="676" s="17" customFormat="1" x14ac:dyDescent="0.25"/>
    <row r="677" s="17" customFormat="1" x14ac:dyDescent="0.25"/>
    <row r="678" s="17" customFormat="1" x14ac:dyDescent="0.25"/>
    <row r="679" s="17" customFormat="1" x14ac:dyDescent="0.25"/>
    <row r="680" s="17" customFormat="1" x14ac:dyDescent="0.25"/>
    <row r="681" s="17" customFormat="1" x14ac:dyDescent="0.25"/>
    <row r="682" s="17" customFormat="1" x14ac:dyDescent="0.25"/>
    <row r="683" s="17" customFormat="1" x14ac:dyDescent="0.25"/>
    <row r="684" s="17" customFormat="1" x14ac:dyDescent="0.25"/>
    <row r="685" s="17" customFormat="1" x14ac:dyDescent="0.25"/>
    <row r="686" s="17" customFormat="1" x14ac:dyDescent="0.25"/>
    <row r="687" s="17" customFormat="1" x14ac:dyDescent="0.25"/>
    <row r="688" s="17" customFormat="1" x14ac:dyDescent="0.25"/>
    <row r="689" s="17" customFormat="1" x14ac:dyDescent="0.25"/>
    <row r="690" s="17" customFormat="1" x14ac:dyDescent="0.25"/>
    <row r="691" s="17" customFormat="1" x14ac:dyDescent="0.25"/>
    <row r="692" s="17" customFormat="1" x14ac:dyDescent="0.25"/>
    <row r="693" s="17" customFormat="1" x14ac:dyDescent="0.25"/>
    <row r="694" s="17" customFormat="1" x14ac:dyDescent="0.25"/>
    <row r="695" s="17" customFormat="1" x14ac:dyDescent="0.25"/>
    <row r="696" s="17" customFormat="1" x14ac:dyDescent="0.25"/>
    <row r="697" s="17" customFormat="1" x14ac:dyDescent="0.25"/>
    <row r="698" s="17" customFormat="1" x14ac:dyDescent="0.25"/>
    <row r="699" s="17" customFormat="1" x14ac:dyDescent="0.25"/>
    <row r="700" s="17" customFormat="1" x14ac:dyDescent="0.25"/>
    <row r="701" s="17" customFormat="1" x14ac:dyDescent="0.25"/>
    <row r="702" s="17" customFormat="1" x14ac:dyDescent="0.25"/>
  </sheetData>
  <mergeCells count="3">
    <mergeCell ref="A2:G2"/>
    <mergeCell ref="A1:G1"/>
    <mergeCell ref="A3:G3"/>
  </mergeCells>
  <phoneticPr fontId="3"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50a44c5-44a5-40f2-af75-6866a74e11e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FFF2EE4E691A44285C2234904061EC7" ma:contentTypeVersion="5" ma:contentTypeDescription="Create a new document." ma:contentTypeScope="" ma:versionID="c8bb43aba262b6cabec45d35b3b57a7b">
  <xsd:schema xmlns:xsd="http://www.w3.org/2001/XMLSchema" xmlns:xs="http://www.w3.org/2001/XMLSchema" xmlns:p="http://schemas.microsoft.com/office/2006/metadata/properties" xmlns:ns3="c50a44c5-44a5-40f2-af75-6866a74e11e8" targetNamespace="http://schemas.microsoft.com/office/2006/metadata/properties" ma:root="true" ma:fieldsID="bc5f42308b0bee6cdc4f83905e67aa91" ns3:_="">
    <xsd:import namespace="c50a44c5-44a5-40f2-af75-6866a74e11e8"/>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0a44c5-44a5-40f2-af75-6866a74e11e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D1DE66-7D9F-4D99-9F31-CA6F43D61424}">
  <ds:schemaRefs>
    <ds:schemaRef ds:uri="http://schemas.microsoft.com/sharepoint/v3/contenttype/forms"/>
  </ds:schemaRefs>
</ds:datastoreItem>
</file>

<file path=customXml/itemProps2.xml><?xml version="1.0" encoding="utf-8"?>
<ds:datastoreItem xmlns:ds="http://schemas.openxmlformats.org/officeDocument/2006/customXml" ds:itemID="{1A79B648-6BBE-4E6B-9601-E7B2F608DECB}">
  <ds:schemaRefs>
    <ds:schemaRef ds:uri="http://schemas.microsoft.com/office/2006/metadata/properties"/>
    <ds:schemaRef ds:uri="http://schemas.microsoft.com/office/infopath/2007/PartnerControls"/>
    <ds:schemaRef ds:uri="c50a44c5-44a5-40f2-af75-6866a74e11e8"/>
  </ds:schemaRefs>
</ds:datastoreItem>
</file>

<file path=customXml/itemProps3.xml><?xml version="1.0" encoding="utf-8"?>
<ds:datastoreItem xmlns:ds="http://schemas.openxmlformats.org/officeDocument/2006/customXml" ds:itemID="{1E111F3A-96DB-43D5-9CD9-3ED15FD4AB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0a44c5-44a5-40f2-af75-6866a74e11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c627367-8bb7-4ccb-accc-dcf8fe2e1aa0}" enabled="1" method="Standard" siteId="{41591cc6-574f-45d5-819b-9a4773330ae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Document Control</vt:lpstr>
      <vt:lpstr>Project Overview</vt:lpstr>
      <vt:lpstr>Facts &amp; Consideration</vt:lpstr>
      <vt:lpstr>Business Scenario</vt:lpstr>
      <vt:lpstr>PageLevelDistribution</vt:lpstr>
      <vt:lpstr>Work Load Mix-PeakLoad</vt:lpstr>
      <vt:lpstr>Test Scenarios</vt:lpstr>
    </vt:vector>
  </TitlesOfParts>
  <Manager/>
  <Company>Sapient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Ritu Raj Pandey</dc:creator>
  <cp:keywords/>
  <dc:description/>
  <cp:lastModifiedBy>Akheem Pasha</cp:lastModifiedBy>
  <cp:revision/>
  <dcterms:created xsi:type="dcterms:W3CDTF">2010-10-28T09:06:53Z</dcterms:created>
  <dcterms:modified xsi:type="dcterms:W3CDTF">2025-10-21T05:33:59Z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0x0101008FFF2EE4E691A44285C2234904061EC7</vt:lpwstr>
  </property>
</Properties>
</file>